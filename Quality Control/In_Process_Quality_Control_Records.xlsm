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X:\004. Quality Team\Ricardo\Data Analysis\"/>
    </mc:Choice>
  </mc:AlternateContent>
  <xr:revisionPtr revIDLastSave="0" documentId="13_ncr:1_{2E27823A-A64B-426B-87AB-68D53E42AB5B}" xr6:coauthVersionLast="47" xr6:coauthVersionMax="47" xr10:uidLastSave="{00000000-0000-0000-0000-000000000000}"/>
  <bookViews>
    <workbookView xWindow="-108" yWindow="-108" windowWidth="23256" windowHeight="13176" activeTab="2" xr2:uid="{199D5D1C-9B78-4EE9-8475-3CC8BB4D5918}"/>
  </bookViews>
  <sheets>
    <sheet name="Check List" sheetId="1" r:id="rId1"/>
    <sheet name="Input Finding" sheetId="4" r:id="rId2"/>
    <sheet name="Records" sheetId="6" r:id="rId3"/>
    <sheet name="Openfindings" sheetId="5" state="hidden" r:id="rId4"/>
    <sheet name="Charts" sheetId="2" r:id="rId5"/>
  </sheets>
  <definedNames>
    <definedName name="Cell___string_rework">'Input Finding'!$X$16:$AJ$16</definedName>
    <definedName name="Cell_Matrix_Layup___Soldering">'Input Finding'!$X$13:$AJ$13</definedName>
    <definedName name="Cell_unpacking">'Input Finding'!$X$29:$AJ$29</definedName>
    <definedName name="Cleaving">'Input Finding'!$X$30:$AJ$30</definedName>
    <definedName name="CS_Issues">'Input Finding'!$X$32:$AJ$32</definedName>
    <definedName name="ESD_Protection">'Input Finding'!$X$28:$AJ$28</definedName>
    <definedName name="EVA___BS_prep___layup">'Input Finding'!$X$14:$AJ$14</definedName>
    <definedName name="Final_EL">'Input Finding'!$X$25:$AJ$25</definedName>
    <definedName name="FQC___Curing">'Input Finding'!$X$26:$AJ$26</definedName>
    <definedName name="Frame_assembly">'Input Finding'!$X$20:$AJ$20</definedName>
    <definedName name="General_item_check">'Input Finding'!$X$11:$AJ$11</definedName>
    <definedName name="Grounding_Tester">'Input Finding'!$X$23:$AJ$23</definedName>
    <definedName name="Hi_Pot_Tester">'Input Finding'!$X$24:$AJ$24</definedName>
    <definedName name="IPQC_No">locations[[#Headers],[A]:[M]]</definedName>
    <definedName name="J_box_assembly">'Input Finding'!$X$21:$AJ$21</definedName>
    <definedName name="kitting">'Input Finding'!$X$31:$AJ$31</definedName>
    <definedName name="Laminate_Inspection">'Input Finding'!$X$19:$AJ$19</definedName>
    <definedName name="Lamination">'Input Finding'!$X$17:$AJ$17</definedName>
    <definedName name="Location">locations[Location]</definedName>
    <definedName name="Packaging">'Input Finding'!$X$27:$AJ$27</definedName>
    <definedName name="_xlnm.Print_Area" localSheetId="1">'Input Finding'!$A$1:$S$32,'Input Finding'!$U$10:$AK$32</definedName>
    <definedName name="Sun_Simulator_Flasher">'Input Finding'!$X$22:$AJ$22</definedName>
    <definedName name="Tabbing__string_soldering">'Input Finding'!$X$12:$AJ$12</definedName>
    <definedName name="Trimming">'Input Finding'!$X$18:$AJ$18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" i="6" l="1"/>
  <c r="T2" i="6" a="1"/>
  <c r="T2" i="6" s="1"/>
  <c r="AG9" i="2" l="1"/>
  <c r="AG10" i="2" s="1"/>
  <c r="AF9" i="2"/>
  <c r="AF10" i="2" s="1"/>
  <c r="AE9" i="2"/>
  <c r="AE10" i="2" s="1"/>
  <c r="AD9" i="2"/>
  <c r="AD10" i="2" s="1"/>
  <c r="AC9" i="2"/>
  <c r="AC10" i="2" s="1"/>
  <c r="AA3" i="2"/>
  <c r="AB3" i="2" s="1"/>
  <c r="AB5" i="2" s="1"/>
  <c r="AF14" i="2" l="1"/>
  <c r="AG14" i="2"/>
  <c r="AG13" i="2"/>
  <c r="AF13" i="2"/>
  <c r="AF12" i="2"/>
  <c r="AG12" i="2"/>
  <c r="AG15" i="2" l="1"/>
  <c r="AF15" i="2"/>
  <c r="C68" i="2" l="1"/>
  <c r="C62" i="2"/>
  <c r="C56" i="2"/>
  <c r="C50" i="2"/>
  <c r="C36" i="2"/>
  <c r="C30" i="2"/>
  <c r="C24" i="2"/>
  <c r="B15" i="2" a="1"/>
  <c r="B15" i="2" s="1"/>
  <c r="AE14" i="2" l="1"/>
  <c r="AE12" i="2"/>
  <c r="AE13" i="2"/>
  <c r="AC13" i="2"/>
  <c r="AC14" i="2"/>
  <c r="AC12" i="2"/>
  <c r="AD13" i="2"/>
  <c r="AD14" i="2"/>
  <c r="AD12" i="2"/>
  <c r="AE5" i="2"/>
  <c r="AC5" i="2"/>
  <c r="B16" i="2" a="1"/>
  <c r="B16" i="2" s="1"/>
  <c r="M15" i="2"/>
  <c r="D15" i="2"/>
  <c r="K20" i="2"/>
  <c r="K21" i="2" s="1"/>
  <c r="K49" i="2" s="1"/>
  <c r="AE15" i="2" l="1"/>
  <c r="AD15" i="2"/>
  <c r="AC15" i="2"/>
  <c r="AF5" i="2"/>
  <c r="B17" i="2" a="1"/>
  <c r="B17" i="2" s="1"/>
  <c r="D16" i="2"/>
  <c r="M16" i="2"/>
  <c r="K23" i="2"/>
  <c r="K22" i="2"/>
  <c r="Q22" i="2"/>
  <c r="M22" i="2"/>
  <c r="N22" i="2"/>
  <c r="O22" i="2"/>
  <c r="P22" i="2"/>
  <c r="E21" i="2"/>
  <c r="E23" i="2" s="1"/>
  <c r="F21" i="2"/>
  <c r="F23" i="2" s="1"/>
  <c r="G21" i="2"/>
  <c r="G23" i="2" s="1"/>
  <c r="H21" i="2"/>
  <c r="H23" i="2" s="1"/>
  <c r="I21" i="2"/>
  <c r="I23" i="2" s="1"/>
  <c r="J20" i="2"/>
  <c r="J21" i="2" s="1"/>
  <c r="J49" i="2" s="1"/>
  <c r="M56" i="2" l="1"/>
  <c r="M24" i="2"/>
  <c r="M62" i="2"/>
  <c r="M30" i="2"/>
  <c r="M36" i="2"/>
  <c r="M50" i="2"/>
  <c r="M68" i="2"/>
  <c r="Q30" i="2"/>
  <c r="Q68" i="2"/>
  <c r="Q36" i="2"/>
  <c r="Q50" i="2"/>
  <c r="Q24" i="2"/>
  <c r="Q56" i="2"/>
  <c r="Q62" i="2"/>
  <c r="K50" i="2"/>
  <c r="K56" i="2"/>
  <c r="K24" i="2"/>
  <c r="K62" i="2"/>
  <c r="K68" i="2"/>
  <c r="K30" i="2"/>
  <c r="K36" i="2"/>
  <c r="P62" i="2"/>
  <c r="P30" i="2"/>
  <c r="P68" i="2"/>
  <c r="P36" i="2"/>
  <c r="P50" i="2"/>
  <c r="P56" i="2"/>
  <c r="P24" i="2"/>
  <c r="O24" i="2"/>
  <c r="O62" i="2"/>
  <c r="O30" i="2"/>
  <c r="O68" i="2"/>
  <c r="O36" i="2"/>
  <c r="O56" i="2"/>
  <c r="O50" i="2"/>
  <c r="N56" i="2"/>
  <c r="N24" i="2"/>
  <c r="N62" i="2"/>
  <c r="N30" i="2"/>
  <c r="N68" i="2"/>
  <c r="N50" i="2"/>
  <c r="N36" i="2"/>
  <c r="M17" i="2"/>
  <c r="D17" i="2"/>
  <c r="B18" i="2" a="1"/>
  <c r="B18" i="2" s="1"/>
  <c r="B19" i="2" s="1" a="1"/>
  <c r="B19" i="2" s="1"/>
  <c r="M23" i="2"/>
  <c r="N23" i="2"/>
  <c r="Q23" i="2"/>
  <c r="P23" i="2"/>
  <c r="O23" i="2"/>
  <c r="G49" i="2"/>
  <c r="I49" i="2"/>
  <c r="H49" i="2"/>
  <c r="F49" i="2"/>
  <c r="E49" i="2"/>
  <c r="N49" i="2"/>
  <c r="O49" i="2"/>
  <c r="P49" i="2"/>
  <c r="M49" i="2"/>
  <c r="Q49" i="2"/>
  <c r="C42" i="2"/>
  <c r="J23" i="2"/>
  <c r="E22" i="2"/>
  <c r="I22" i="2"/>
  <c r="H22" i="2"/>
  <c r="G22" i="2"/>
  <c r="F22" i="2"/>
  <c r="M19" i="2" l="1"/>
  <c r="D19" i="2"/>
  <c r="F24" i="2"/>
  <c r="F62" i="2"/>
  <c r="F30" i="2"/>
  <c r="F68" i="2"/>
  <c r="F36" i="2"/>
  <c r="F50" i="2"/>
  <c r="F56" i="2"/>
  <c r="G62" i="2"/>
  <c r="G30" i="2"/>
  <c r="G68" i="2"/>
  <c r="G36" i="2"/>
  <c r="G50" i="2"/>
  <c r="G56" i="2"/>
  <c r="G24" i="2"/>
  <c r="I68" i="2"/>
  <c r="I36" i="2"/>
  <c r="I50" i="2"/>
  <c r="I56" i="2"/>
  <c r="I62" i="2"/>
  <c r="I30" i="2"/>
  <c r="I24" i="2"/>
  <c r="H30" i="2"/>
  <c r="H68" i="2"/>
  <c r="H36" i="2"/>
  <c r="H50" i="2"/>
  <c r="H24" i="2"/>
  <c r="H62" i="2"/>
  <c r="H56" i="2"/>
  <c r="E56" i="2"/>
  <c r="E24" i="2"/>
  <c r="E62" i="2"/>
  <c r="E30" i="2"/>
  <c r="E68" i="2"/>
  <c r="E50" i="2"/>
  <c r="E36" i="2"/>
  <c r="D18" i="2"/>
  <c r="M18" i="2"/>
  <c r="K42" i="2"/>
  <c r="N42" i="2"/>
  <c r="O42" i="2"/>
  <c r="P42" i="2"/>
  <c r="M42" i="2"/>
  <c r="Q42" i="2"/>
  <c r="J22" i="2"/>
  <c r="J36" i="2" l="1"/>
  <c r="J50" i="2"/>
  <c r="J56" i="2"/>
  <c r="J24" i="2"/>
  <c r="J30" i="2"/>
  <c r="J68" i="2"/>
  <c r="J62" i="2"/>
  <c r="H42" i="2"/>
  <c r="I42" i="2"/>
  <c r="G42" i="2"/>
  <c r="E42" i="2"/>
  <c r="F42" i="2"/>
  <c r="B13" i="2"/>
  <c r="C3" i="2"/>
  <c r="B6" i="2" s="1" a="1"/>
  <c r="B6" i="2" s="1"/>
  <c r="D6" i="2" l="1"/>
  <c r="M6" i="2"/>
  <c r="B7" i="2" a="1"/>
  <c r="B7" i="2" s="1"/>
  <c r="J42" i="2"/>
  <c r="B4" i="2"/>
  <c r="B8" i="2" l="1" a="1"/>
  <c r="B8" i="2" s="1"/>
  <c r="D7" i="2"/>
  <c r="M7" i="2"/>
  <c r="M8" i="2" l="1"/>
  <c r="D8" i="2"/>
  <c r="B9" i="2" a="1"/>
  <c r="B9" i="2" s="1"/>
  <c r="M9" i="2" l="1"/>
  <c r="D9" i="2"/>
  <c r="B10" i="2" a="1"/>
  <c r="B10" i="2" s="1"/>
  <c r="A31" i="2" s="1" a="1"/>
  <c r="J34" i="2" l="1"/>
  <c r="K33" i="2"/>
  <c r="P33" i="2"/>
  <c r="Q32" i="2"/>
  <c r="G33" i="2"/>
  <c r="H32" i="2"/>
  <c r="M32" i="2"/>
  <c r="J35" i="2"/>
  <c r="P35" i="2"/>
  <c r="C32" i="2"/>
  <c r="C33" i="2"/>
  <c r="G35" i="2"/>
  <c r="H35" i="2"/>
  <c r="M34" i="2"/>
  <c r="I33" i="2"/>
  <c r="O33" i="2"/>
  <c r="I32" i="2"/>
  <c r="O32" i="2"/>
  <c r="F33" i="2"/>
  <c r="G34" i="2"/>
  <c r="F32" i="2"/>
  <c r="K32" i="2"/>
  <c r="E34" i="2"/>
  <c r="Q35" i="2"/>
  <c r="H33" i="2"/>
  <c r="J32" i="2"/>
  <c r="O35" i="2"/>
  <c r="K35" i="2"/>
  <c r="N34" i="2"/>
  <c r="Q34" i="2"/>
  <c r="K34" i="2"/>
  <c r="M33" i="2"/>
  <c r="N33" i="2"/>
  <c r="E33" i="2"/>
  <c r="E32" i="2"/>
  <c r="N35" i="2"/>
  <c r="M35" i="2"/>
  <c r="C35" i="2"/>
  <c r="I34" i="2"/>
  <c r="P34" i="2"/>
  <c r="F35" i="2"/>
  <c r="G32" i="2"/>
  <c r="H34" i="2"/>
  <c r="Q33" i="2"/>
  <c r="J33" i="2"/>
  <c r="N32" i="2"/>
  <c r="A31" i="2"/>
  <c r="I35" i="2"/>
  <c r="O34" i="2"/>
  <c r="E35" i="2"/>
  <c r="F34" i="2"/>
  <c r="P32" i="2"/>
  <c r="C34" i="2"/>
  <c r="A57" i="2" a="1"/>
  <c r="A37" i="2" a="1"/>
  <c r="A63" i="2" a="1"/>
  <c r="A69" i="2" a="1"/>
  <c r="A43" i="2" a="1"/>
  <c r="A25" i="2" a="1"/>
  <c r="A51" i="2" a="1"/>
  <c r="M10" i="2"/>
  <c r="D10" i="2"/>
  <c r="I52" i="2" l="1"/>
  <c r="F52" i="2"/>
  <c r="H54" i="2"/>
  <c r="K53" i="2"/>
  <c r="E52" i="2"/>
  <c r="I55" i="2"/>
  <c r="O55" i="2"/>
  <c r="P53" i="2"/>
  <c r="H52" i="2"/>
  <c r="N52" i="2"/>
  <c r="G53" i="2"/>
  <c r="M55" i="2"/>
  <c r="E54" i="2"/>
  <c r="I54" i="2"/>
  <c r="J55" i="2"/>
  <c r="I53" i="2"/>
  <c r="O54" i="2"/>
  <c r="F55" i="2"/>
  <c r="J54" i="2"/>
  <c r="M53" i="2"/>
  <c r="F54" i="2"/>
  <c r="K54" i="2"/>
  <c r="C52" i="2"/>
  <c r="Q53" i="2"/>
  <c r="Q55" i="2"/>
  <c r="G55" i="2"/>
  <c r="C54" i="2"/>
  <c r="C53" i="2"/>
  <c r="N53" i="2"/>
  <c r="C55" i="2"/>
  <c r="K55" i="2"/>
  <c r="M52" i="2"/>
  <c r="O52" i="2"/>
  <c r="Q52" i="2"/>
  <c r="H53" i="2"/>
  <c r="N55" i="2"/>
  <c r="H55" i="2"/>
  <c r="P54" i="2"/>
  <c r="Q54" i="2"/>
  <c r="N54" i="2"/>
  <c r="P55" i="2"/>
  <c r="M54" i="2"/>
  <c r="G54" i="2"/>
  <c r="J52" i="2"/>
  <c r="E53" i="2"/>
  <c r="E55" i="2"/>
  <c r="J53" i="2"/>
  <c r="O53" i="2"/>
  <c r="P52" i="2"/>
  <c r="F53" i="2"/>
  <c r="A51" i="2"/>
  <c r="G52" i="2"/>
  <c r="K52" i="2"/>
  <c r="I39" i="2"/>
  <c r="N39" i="2"/>
  <c r="O38" i="2"/>
  <c r="E39" i="2"/>
  <c r="O40" i="2"/>
  <c r="Q39" i="2"/>
  <c r="C41" i="2"/>
  <c r="K38" i="2"/>
  <c r="I40" i="2"/>
  <c r="P41" i="2"/>
  <c r="K41" i="2"/>
  <c r="F38" i="2"/>
  <c r="J38" i="2"/>
  <c r="O39" i="2"/>
  <c r="H39" i="2"/>
  <c r="Q41" i="2"/>
  <c r="M38" i="2"/>
  <c r="G41" i="2"/>
  <c r="I41" i="2"/>
  <c r="O41" i="2"/>
  <c r="G40" i="2"/>
  <c r="C39" i="2"/>
  <c r="H38" i="2"/>
  <c r="M41" i="2"/>
  <c r="F41" i="2"/>
  <c r="K39" i="2"/>
  <c r="Q38" i="2"/>
  <c r="E38" i="2"/>
  <c r="G39" i="2"/>
  <c r="F40" i="2"/>
  <c r="K40" i="2"/>
  <c r="M39" i="2"/>
  <c r="J41" i="2"/>
  <c r="N38" i="2"/>
  <c r="N41" i="2"/>
  <c r="M40" i="2"/>
  <c r="H41" i="2"/>
  <c r="H40" i="2"/>
  <c r="N40" i="2"/>
  <c r="E41" i="2"/>
  <c r="F39" i="2"/>
  <c r="A37" i="2"/>
  <c r="E40" i="2"/>
  <c r="J40" i="2"/>
  <c r="P40" i="2"/>
  <c r="J39" i="2"/>
  <c r="P39" i="2"/>
  <c r="I38" i="2"/>
  <c r="P38" i="2"/>
  <c r="G38" i="2"/>
  <c r="C38" i="2"/>
  <c r="Q40" i="2"/>
  <c r="C40" i="2"/>
  <c r="E29" i="2"/>
  <c r="G28" i="2"/>
  <c r="Q27" i="2"/>
  <c r="P27" i="2"/>
  <c r="I26" i="2"/>
  <c r="P26" i="2"/>
  <c r="F29" i="2"/>
  <c r="J28" i="2"/>
  <c r="M27" i="2"/>
  <c r="O29" i="2"/>
  <c r="C27" i="2"/>
  <c r="J27" i="2"/>
  <c r="Q26" i="2"/>
  <c r="P29" i="2"/>
  <c r="H28" i="2"/>
  <c r="H27" i="2"/>
  <c r="F28" i="2"/>
  <c r="K27" i="2"/>
  <c r="H26" i="2"/>
  <c r="J29" i="2"/>
  <c r="G27" i="2"/>
  <c r="H29" i="2"/>
  <c r="M26" i="2"/>
  <c r="N26" i="2"/>
  <c r="G26" i="2"/>
  <c r="O26" i="2"/>
  <c r="E27" i="2"/>
  <c r="N29" i="2"/>
  <c r="I29" i="2"/>
  <c r="Q29" i="2"/>
  <c r="I28" i="2"/>
  <c r="A25" i="2"/>
  <c r="N28" i="2"/>
  <c r="F27" i="2"/>
  <c r="I27" i="2"/>
  <c r="F26" i="2"/>
  <c r="E26" i="2"/>
  <c r="P28" i="2"/>
  <c r="C26" i="2"/>
  <c r="O28" i="2"/>
  <c r="M29" i="2"/>
  <c r="C29" i="2"/>
  <c r="O27" i="2"/>
  <c r="N27" i="2"/>
  <c r="E28" i="2"/>
  <c r="K28" i="2"/>
  <c r="K26" i="2"/>
  <c r="G29" i="2"/>
  <c r="K29" i="2"/>
  <c r="M28" i="2"/>
  <c r="Q28" i="2"/>
  <c r="C28" i="2"/>
  <c r="J26" i="2"/>
  <c r="M46" i="2"/>
  <c r="C47" i="2"/>
  <c r="O46" i="2"/>
  <c r="I45" i="2"/>
  <c r="O45" i="2"/>
  <c r="H46" i="2"/>
  <c r="C46" i="2"/>
  <c r="I46" i="2"/>
  <c r="H44" i="2"/>
  <c r="K46" i="2"/>
  <c r="Q44" i="2"/>
  <c r="Q46" i="2"/>
  <c r="M44" i="2"/>
  <c r="C44" i="2"/>
  <c r="F45" i="2"/>
  <c r="F44" i="2"/>
  <c r="O47" i="2"/>
  <c r="M45" i="2"/>
  <c r="H45" i="2"/>
  <c r="I44" i="2"/>
  <c r="J45" i="2"/>
  <c r="E45" i="2"/>
  <c r="O44" i="2"/>
  <c r="K44" i="2"/>
  <c r="J47" i="2"/>
  <c r="F47" i="2"/>
  <c r="I47" i="2"/>
  <c r="J44" i="2"/>
  <c r="P46" i="2"/>
  <c r="G46" i="2"/>
  <c r="C45" i="2"/>
  <c r="Q45" i="2"/>
  <c r="N44" i="2"/>
  <c r="J46" i="2"/>
  <c r="G45" i="2"/>
  <c r="G47" i="2"/>
  <c r="P45" i="2"/>
  <c r="P44" i="2"/>
  <c r="G44" i="2"/>
  <c r="P47" i="2"/>
  <c r="M47" i="2"/>
  <c r="A43" i="2"/>
  <c r="K47" i="2"/>
  <c r="Q47" i="2"/>
  <c r="E44" i="2"/>
  <c r="F46" i="2"/>
  <c r="H47" i="2"/>
  <c r="N47" i="2"/>
  <c r="N45" i="2"/>
  <c r="N46" i="2"/>
  <c r="E47" i="2"/>
  <c r="K45" i="2"/>
  <c r="E46" i="2"/>
  <c r="P60" i="2"/>
  <c r="K60" i="2"/>
  <c r="G60" i="2"/>
  <c r="Q59" i="2"/>
  <c r="P59" i="2"/>
  <c r="G61" i="2"/>
  <c r="H60" i="2"/>
  <c r="M59" i="2"/>
  <c r="H59" i="2"/>
  <c r="M61" i="2"/>
  <c r="K59" i="2"/>
  <c r="I60" i="2"/>
  <c r="O58" i="2"/>
  <c r="G59" i="2"/>
  <c r="N59" i="2"/>
  <c r="C59" i="2"/>
  <c r="N58" i="2"/>
  <c r="P61" i="2"/>
  <c r="C61" i="2"/>
  <c r="Q58" i="2"/>
  <c r="O59" i="2"/>
  <c r="G58" i="2"/>
  <c r="C58" i="2"/>
  <c r="I58" i="2"/>
  <c r="E58" i="2"/>
  <c r="O60" i="2"/>
  <c r="F60" i="2"/>
  <c r="M60" i="2"/>
  <c r="J60" i="2"/>
  <c r="I61" i="2"/>
  <c r="C60" i="2"/>
  <c r="I59" i="2"/>
  <c r="H58" i="2"/>
  <c r="A57" i="2"/>
  <c r="E60" i="2"/>
  <c r="P58" i="2"/>
  <c r="O61" i="2"/>
  <c r="Q60" i="2"/>
  <c r="E59" i="2"/>
  <c r="J61" i="2"/>
  <c r="F59" i="2"/>
  <c r="Q61" i="2"/>
  <c r="E61" i="2"/>
  <c r="K58" i="2"/>
  <c r="H61" i="2"/>
  <c r="M58" i="2"/>
  <c r="K61" i="2"/>
  <c r="N60" i="2"/>
  <c r="N61" i="2"/>
  <c r="J59" i="2"/>
  <c r="F58" i="2"/>
  <c r="J58" i="2"/>
  <c r="F61" i="2"/>
  <c r="J71" i="2"/>
  <c r="P71" i="2"/>
  <c r="I70" i="2"/>
  <c r="M70" i="2"/>
  <c r="Q72" i="2"/>
  <c r="M73" i="2"/>
  <c r="Q70" i="2"/>
  <c r="P70" i="2"/>
  <c r="G71" i="2"/>
  <c r="I73" i="2"/>
  <c r="P73" i="2"/>
  <c r="K71" i="2"/>
  <c r="C72" i="2"/>
  <c r="F71" i="2"/>
  <c r="E71" i="2"/>
  <c r="J70" i="2"/>
  <c r="J72" i="2"/>
  <c r="G70" i="2"/>
  <c r="C70" i="2"/>
  <c r="I71" i="2"/>
  <c r="H70" i="2"/>
  <c r="K70" i="2"/>
  <c r="H71" i="2"/>
  <c r="H73" i="2"/>
  <c r="O72" i="2"/>
  <c r="G73" i="2"/>
  <c r="C73" i="2"/>
  <c r="F72" i="2"/>
  <c r="O70" i="2"/>
  <c r="F70" i="2"/>
  <c r="K73" i="2"/>
  <c r="C71" i="2"/>
  <c r="I72" i="2"/>
  <c r="O73" i="2"/>
  <c r="M72" i="2"/>
  <c r="O71" i="2"/>
  <c r="N73" i="2"/>
  <c r="N72" i="2"/>
  <c r="A69" i="2"/>
  <c r="J73" i="2"/>
  <c r="E70" i="2"/>
  <c r="G72" i="2"/>
  <c r="M71" i="2"/>
  <c r="P72" i="2"/>
  <c r="E72" i="2"/>
  <c r="F73" i="2"/>
  <c r="H72" i="2"/>
  <c r="K72" i="2"/>
  <c r="N71" i="2"/>
  <c r="Q71" i="2"/>
  <c r="N70" i="2"/>
  <c r="Q73" i="2"/>
  <c r="E73" i="2"/>
  <c r="J66" i="2"/>
  <c r="M65" i="2"/>
  <c r="I65" i="2"/>
  <c r="P65" i="2"/>
  <c r="C65" i="2"/>
  <c r="I67" i="2"/>
  <c r="I66" i="2"/>
  <c r="G66" i="2"/>
  <c r="G65" i="2"/>
  <c r="I64" i="2"/>
  <c r="Q64" i="2"/>
  <c r="C67" i="2"/>
  <c r="P64" i="2"/>
  <c r="G67" i="2"/>
  <c r="N65" i="2"/>
  <c r="J64" i="2"/>
  <c r="E67" i="2"/>
  <c r="M64" i="2"/>
  <c r="Q67" i="2"/>
  <c r="E66" i="2"/>
  <c r="G64" i="2"/>
  <c r="Q65" i="2"/>
  <c r="N64" i="2"/>
  <c r="P66" i="2"/>
  <c r="C64" i="2"/>
  <c r="H67" i="2"/>
  <c r="O65" i="2"/>
  <c r="K64" i="2"/>
  <c r="F64" i="2"/>
  <c r="C66" i="2"/>
  <c r="N67" i="2"/>
  <c r="M67" i="2"/>
  <c r="N66" i="2"/>
  <c r="J65" i="2"/>
  <c r="F65" i="2"/>
  <c r="A63" i="2"/>
  <c r="M66" i="2"/>
  <c r="E65" i="2"/>
  <c r="E64" i="2"/>
  <c r="P67" i="2"/>
  <c r="H65" i="2"/>
  <c r="K65" i="2"/>
  <c r="F66" i="2"/>
  <c r="O67" i="2"/>
  <c r="K67" i="2"/>
  <c r="O64" i="2"/>
  <c r="F67" i="2"/>
  <c r="Q66" i="2"/>
  <c r="O66" i="2"/>
  <c r="K66" i="2"/>
  <c r="H66" i="2"/>
  <c r="H64" i="2"/>
  <c r="J67" i="2"/>
  <c r="K31" i="2"/>
  <c r="I31" i="2"/>
  <c r="G31" i="2"/>
  <c r="N31" i="2"/>
  <c r="H31" i="2"/>
  <c r="J31" i="2"/>
  <c r="Q31" i="2"/>
  <c r="P31" i="2"/>
  <c r="F31" i="2"/>
  <c r="C31" i="2"/>
  <c r="E31" i="2"/>
  <c r="O31" i="2"/>
  <c r="M31" i="2"/>
  <c r="J37" i="2" l="1"/>
  <c r="I37" i="2"/>
  <c r="P37" i="2"/>
  <c r="G37" i="2"/>
  <c r="O37" i="2"/>
  <c r="H37" i="2"/>
  <c r="F37" i="2"/>
  <c r="M37" i="2"/>
  <c r="E37" i="2"/>
  <c r="Q37" i="2"/>
  <c r="K37" i="2"/>
  <c r="C37" i="2"/>
  <c r="N37" i="2"/>
  <c r="O51" i="2"/>
  <c r="F51" i="2"/>
  <c r="N51" i="2"/>
  <c r="E51" i="2"/>
  <c r="M51" i="2"/>
  <c r="J51" i="2"/>
  <c r="Q51" i="2"/>
  <c r="P51" i="2"/>
  <c r="G51" i="2"/>
  <c r="C51" i="2"/>
  <c r="K51" i="2"/>
  <c r="I51" i="2"/>
  <c r="H51" i="2"/>
  <c r="N63" i="2"/>
  <c r="I63" i="2"/>
  <c r="Q63" i="2"/>
  <c r="F63" i="2"/>
  <c r="C63" i="2"/>
  <c r="P63" i="2"/>
  <c r="M63" i="2"/>
  <c r="J63" i="2"/>
  <c r="E63" i="2"/>
  <c r="O63" i="2"/>
  <c r="K63" i="2"/>
  <c r="H63" i="2"/>
  <c r="G63" i="2"/>
  <c r="O57" i="2"/>
  <c r="C57" i="2"/>
  <c r="Q57" i="2"/>
  <c r="P57" i="2"/>
  <c r="G57" i="2"/>
  <c r="N57" i="2"/>
  <c r="J57" i="2"/>
  <c r="E57" i="2"/>
  <c r="M57" i="2"/>
  <c r="H57" i="2"/>
  <c r="K57" i="2"/>
  <c r="I57" i="2"/>
  <c r="F57" i="2"/>
  <c r="O69" i="2"/>
  <c r="F69" i="2"/>
  <c r="N69" i="2"/>
  <c r="G69" i="2"/>
  <c r="E69" i="2"/>
  <c r="P69" i="2"/>
  <c r="I69" i="2"/>
  <c r="J69" i="2"/>
  <c r="C69" i="2"/>
  <c r="M69" i="2"/>
  <c r="H69" i="2"/>
  <c r="Q69" i="2"/>
  <c r="K69" i="2"/>
  <c r="O25" i="2"/>
  <c r="K25" i="2"/>
  <c r="I25" i="2"/>
  <c r="Q25" i="2"/>
  <c r="H25" i="2"/>
  <c r="P25" i="2"/>
  <c r="G25" i="2"/>
  <c r="F25" i="2"/>
  <c r="M25" i="2"/>
  <c r="C25" i="2"/>
  <c r="N25" i="2"/>
  <c r="E25" i="2"/>
  <c r="J25" i="2"/>
  <c r="C43" i="2"/>
  <c r="G43" i="2"/>
  <c r="K43" i="2"/>
  <c r="J43" i="2"/>
  <c r="I43" i="2"/>
  <c r="Q43" i="2"/>
  <c r="H43" i="2"/>
  <c r="O43" i="2"/>
  <c r="E43" i="2"/>
  <c r="F43" i="2"/>
  <c r="N43" i="2"/>
  <c r="M43" i="2"/>
  <c r="P4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<sst xmlns="http://schemas.openxmlformats.org/spreadsheetml/2006/main" count="1178" uniqueCount="658">
  <si>
    <t>GA IPQC CHECK LIST</t>
  </si>
  <si>
    <t>Local IPQC numbers may not match with global numbers. 
Global numbers are referenced in row H.</t>
  </si>
  <si>
    <t>Process</t>
  </si>
  <si>
    <t>No.</t>
  </si>
  <si>
    <t>Severity</t>
  </si>
  <si>
    <t>Check items</t>
  </si>
  <si>
    <t>Frequency</t>
  </si>
  <si>
    <t>Result (ok/nok)</t>
  </si>
  <si>
    <t>Remarks</t>
  </si>
  <si>
    <t>Global No.</t>
  </si>
  <si>
    <t xml:space="preserve">(1)
General item check </t>
  </si>
  <si>
    <t>1.01</t>
  </si>
  <si>
    <t>Minor</t>
  </si>
  <si>
    <t>Check temperature and humidity in production line and check record sheet or MES in case of auto record.
(Check against IPQC calibrated temperature/humidity meter)</t>
  </si>
  <si>
    <t>daily all lines</t>
  </si>
  <si>
    <t>1.1</t>
  </si>
  <si>
    <t>1.02</t>
  </si>
  <si>
    <t>Major</t>
  </si>
  <si>
    <t>Operators wear mandatory working clothes and protective equipment according to local requirements.
(e.g. Hat, gloves, steel toes, etc.)</t>
  </si>
  <si>
    <t>line survey</t>
  </si>
  <si>
    <t>1.2</t>
  </si>
  <si>
    <t>1.03</t>
  </si>
  <si>
    <t>Daily PM sheets not filled out for day, or out of spec without evidence of corrective re-action.</t>
  </si>
  <si>
    <t>local only</t>
  </si>
  <si>
    <t>1.04</t>
  </si>
  <si>
    <t>Check if non conforming material is clearly marked and stored separately.</t>
  </si>
  <si>
    <t>1.4</t>
  </si>
  <si>
    <t>1.05</t>
  </si>
  <si>
    <t>Check if correct version and revision of EL (final) and OSC catalogue is used and available</t>
  </si>
  <si>
    <t>1.5</t>
  </si>
  <si>
    <t>1.06</t>
  </si>
  <si>
    <t xml:space="preserve">Check if Quality Sampling is conducted according to global requirements.
(G-PAS-01-03-02-01-0001 Quality Sampling Plan) </t>
  </si>
  <si>
    <t>monthly</t>
  </si>
  <si>
    <t>1.6</t>
  </si>
  <si>
    <t>1.07</t>
  </si>
  <si>
    <t>Check use of correct documents and latest versions according to documents &amp; versions avaliable in CAQ.</t>
  </si>
  <si>
    <t>1.7</t>
  </si>
  <si>
    <t>1.08</t>
  </si>
  <si>
    <r>
      <t xml:space="preserve">Check validity of measurement instrument calibration &amp; condition. 
[If instrument is not yet out of calibration, but is </t>
    </r>
    <r>
      <rPr>
        <u/>
        <sz val="12"/>
        <rFont val="Actual Regular"/>
      </rPr>
      <t>within one month</t>
    </r>
    <r>
      <rPr>
        <sz val="12"/>
        <rFont val="Actual Regular"/>
        <family val="2"/>
      </rPr>
      <t xml:space="preserve"> of being out of calibration, decrease rating to minor]</t>
    </r>
  </si>
  <si>
    <t>1.8</t>
  </si>
  <si>
    <t>1.09</t>
  </si>
  <si>
    <t>Storage inline records - Check if inline records are documented and filed out.
(e.g. silicone weight framing, silicone weight Jbox, etc.)</t>
  </si>
  <si>
    <t>1.9</t>
  </si>
  <si>
    <t>1.12</t>
  </si>
  <si>
    <t>1.13</t>
  </si>
  <si>
    <t>Current proceedure or process not confirming to SOP.
(Either from poor proceedure, lack of training, or failure to update SOP)</t>
  </si>
  <si>
    <t>1.14</t>
  </si>
  <si>
    <t>major</t>
  </si>
  <si>
    <t>OFI</t>
  </si>
  <si>
    <t>Document any opportunities for improvement towards current procedure, and/or process.</t>
  </si>
  <si>
    <t>N/A</t>
  </si>
  <si>
    <t>(2)
Tabbing (string soldering)</t>
  </si>
  <si>
    <t>2.01</t>
  </si>
  <si>
    <t>Barcode scanning conducted according to SOP &amp; includes dummy barcode replacement</t>
  </si>
  <si>
    <t>2.2</t>
  </si>
  <si>
    <t>2.02</t>
  </si>
  <si>
    <t>Check material compliance with BOM (cells, cell connector, flux, etc.)</t>
  </si>
  <si>
    <t>2.6</t>
  </si>
  <si>
    <t>2.03</t>
  </si>
  <si>
    <t>Check availability of machine protocol and actions are recorded
(In case of machine protocol is available)</t>
  </si>
  <si>
    <t>2.7</t>
  </si>
  <si>
    <t>2.04</t>
  </si>
  <si>
    <t>The routine check of solder tip and heating plate is done and recorded
(also routine check of IR lamp in case of IR soldering is used)</t>
  </si>
  <si>
    <t>2.8</t>
  </si>
  <si>
    <t>2.05</t>
  </si>
  <si>
    <t>Verify equipment cleaning routines including flux refill are performed according to local SOP and recorded according to local proceedures (currently recorded in EMI)
Ensure cell connector cutting before layup/cut of cell connector ends is cleaned during flux refills.</t>
  </si>
  <si>
    <t>2.9</t>
  </si>
  <si>
    <t>2.06</t>
  </si>
  <si>
    <t>Solder recipe parameters are according to PAS</t>
  </si>
  <si>
    <t>2.11</t>
  </si>
  <si>
    <t>2.07</t>
  </si>
  <si>
    <t>Check flux pressure at every tabber according to PAS</t>
  </si>
  <si>
    <t>2.12</t>
  </si>
  <si>
    <t>2.08</t>
  </si>
  <si>
    <t>Peel tests are performed and recorded based on global requirement 
(G-PAS-04-01-0010 Inspection criteria cell connector peel off test)</t>
  </si>
  <si>
    <t>2.13</t>
  </si>
  <si>
    <t>2.09</t>
  </si>
  <si>
    <t xml:space="preserve">Check condition of cell connector auto flux device. 
Check if routine checks are done and recorded </t>
  </si>
  <si>
    <t>2.14</t>
  </si>
  <si>
    <t>2.10</t>
  </si>
  <si>
    <t>Check 3 to 5 cycle on string  vacuum suction performance. 
Check cells alignment and pressure of suction cup.</t>
  </si>
  <si>
    <t>2.15</t>
  </si>
  <si>
    <t>Check cell pitch condition (free from any residue, cell chip &amp; ribbon)</t>
  </si>
  <si>
    <t>2.16</t>
  </si>
  <si>
    <t>Ensure material traceability in tabbing &amp; string soldering area. 
(e.g. Tabber wire)</t>
  </si>
  <si>
    <t>Ensure tabber vision system is running and not in bypass.</t>
  </si>
  <si>
    <t xml:space="preserve">Check wire trim box for alignment and overfill issues. </t>
  </si>
  <si>
    <t>(3)
Cell Matrix Layup and Soldering</t>
  </si>
  <si>
    <t>3.01</t>
  </si>
  <si>
    <t>Critical</t>
  </si>
  <si>
    <t>Verify optical soldering criteria cross connection according to global requirement G-PAS-04-01-0005 
(menicus, cell connector overlap) 
Check one matrix for each auto flux application unit</t>
  </si>
  <si>
    <t>3.2</t>
  </si>
  <si>
    <t>3.02</t>
  </si>
  <si>
    <t xml:space="preserve">Check material compliance with BOM  (cross connector &amp; flux if used) </t>
  </si>
  <si>
    <t>3.3</t>
  </si>
  <si>
    <t>3.03</t>
  </si>
  <si>
    <t xml:space="preserve">Check condition and cleanliness of solder tips. </t>
  </si>
  <si>
    <t>3.4</t>
  </si>
  <si>
    <t>3.04</t>
  </si>
  <si>
    <t>Check solder parameters according to local specifications</t>
  </si>
  <si>
    <t>3.6</t>
  </si>
  <si>
    <t>3.05</t>
  </si>
  <si>
    <t>Peel tests are performed and recorded based on global requirement 
(G-PAS-04-01-0005 Inspection criteria for Cross connector soldering check)</t>
  </si>
  <si>
    <t>3.8</t>
  </si>
  <si>
    <t>3.06</t>
  </si>
  <si>
    <t>Check if there are any busbar transfer/bending issues</t>
  </si>
  <si>
    <t>3.07</t>
  </si>
  <si>
    <t>Check matrix pallet conditions and cleaniness</t>
  </si>
  <si>
    <t>3.08</t>
  </si>
  <si>
    <t>Ensure material traciability in cell matrix layup and soldering area.
(e.g. busbar and cell connector)</t>
  </si>
  <si>
    <t>3.09</t>
  </si>
  <si>
    <t>Check if there are any matrix transfer issues</t>
  </si>
  <si>
    <t>(4)
EVA and Back sheet preparation &amp; Lay up process</t>
  </si>
  <si>
    <t>4.01</t>
  </si>
  <si>
    <t>Check if optical inspection of string alignment, cell connector misalignment &amp; soldering is done according to SOP 
(1 matrix for each layup)</t>
  </si>
  <si>
    <t>4.2</t>
  </si>
  <si>
    <t>4.02</t>
  </si>
  <si>
    <t xml:space="preserve">Check material compliance with BOM  and verify usage of correct material with its identification in cutting device (e.g. EVA, Backsheet, and cell fixing tape) </t>
  </si>
  <si>
    <t>4.3</t>
  </si>
  <si>
    <t>4.03</t>
  </si>
  <si>
    <t>Verify usage of correct EVA type for glass side and back side and check identification of material in cutting device</t>
  </si>
  <si>
    <t>4.4*</t>
  </si>
  <si>
    <t>4.04</t>
  </si>
  <si>
    <t>Check if processing time (after opening until lamination) of  EVA is within max. Time limit of 24hrs.
(also check EVA processing time of rework modules)</t>
  </si>
  <si>
    <t>4.5</t>
  </si>
  <si>
    <t>4.05</t>
  </si>
  <si>
    <t xml:space="preserve">Check condition of EVA and backsheet cutting equipment &amp; work stations. 
Check if cleaning routines are performed and recorded according to SOP </t>
  </si>
  <si>
    <t>4.7</t>
  </si>
  <si>
    <t>4.06</t>
  </si>
  <si>
    <t>Ensure the surface of EVA and backsheet is without defects prior to lamination.
(e.g. damages, impurities, discoloration)</t>
  </si>
  <si>
    <t>4.8</t>
  </si>
  <si>
    <t>4.07</t>
  </si>
  <si>
    <t>Check alignment/overlap of EVA-Sheets (1st and 2nd layer) and backsheet to glass edge and verfiy conformity with local SOP</t>
  </si>
  <si>
    <t>Local SOP should say 2-3 mm from glass edge</t>
  </si>
  <si>
    <t>4.11</t>
  </si>
  <si>
    <t>4.08</t>
  </si>
  <si>
    <t>Measure alignment between matrix and glass at two positions per side</t>
  </si>
  <si>
    <t>4.12</t>
  </si>
  <si>
    <t>4.09</t>
  </si>
  <si>
    <t xml:space="preserve">Check of Backsheet and EVA alignment in relation to glass is conducted and recorded after every role change. 
Ensure Alignment and record complies with local SOP requirements </t>
  </si>
  <si>
    <t>4.13</t>
  </si>
  <si>
    <t>4.10</t>
  </si>
  <si>
    <t>Check if glass cleaning devices by air is in use (if available)</t>
  </si>
  <si>
    <t>4.16</t>
  </si>
  <si>
    <t>Check functionality of safty devices (inter-lock) for auto glass feeding.
(machine must stop or operate in safety mode when operator enters or opens cage)</t>
  </si>
  <si>
    <t>4.17</t>
  </si>
  <si>
    <t>Ensure EVA and Backsheet is trimmed within the max and minimum size specified for the current module type, as specified in the local SOP</t>
  </si>
  <si>
    <t>Check if there is any damage to the cross connector, or missing cross connectors at downright</t>
  </si>
  <si>
    <t>4.14</t>
  </si>
  <si>
    <t>Ensure front AOI system is running and not in bypass.</t>
  </si>
  <si>
    <t>4.15</t>
  </si>
  <si>
    <t>Ensure material traciability in EVA and Back sheet preparation &amp; Lay up process area.
(e.g. EVA1, EVA2, Backsheet, Glass)</t>
  </si>
  <si>
    <t>(5)
pre EL</t>
  </si>
  <si>
    <t>5.01</t>
  </si>
  <si>
    <t>Supervise 5 laminates EL inspections or review of 10 EL images from running production and verify correct assessment.</t>
  </si>
  <si>
    <t>5.1</t>
  </si>
  <si>
    <t>5.03</t>
  </si>
  <si>
    <t>Ensure pins alignement is correct for pre EL, and hits within the j-box.</t>
  </si>
  <si>
    <t>5.2</t>
  </si>
  <si>
    <t xml:space="preserve">(6)
Cell &amp; String Rework </t>
  </si>
  <si>
    <t>6.01</t>
  </si>
  <si>
    <t>Check if flux is applied and visible on cell surface.
Check condition and cleanliness of dispensing valves and nozzles.
Check condition and cleanliness of tubes and sponges if applicable.</t>
  </si>
  <si>
    <t>6.02</t>
  </si>
  <si>
    <t>Verify condition and cleanliness of soldering jig and work table according to SOP</t>
  </si>
  <si>
    <t>6.1</t>
  </si>
  <si>
    <t>6.03</t>
  </si>
  <si>
    <t xml:space="preserve">Check flux change frequency (e.g flux pen), condition of vacuum pickers for string handling. 
Verify temperature setting solder tip according to PAS. </t>
  </si>
  <si>
    <t>6.3</t>
  </si>
  <si>
    <t>6.04</t>
  </si>
  <si>
    <t>Verify operator rework processes according to SOP</t>
  </si>
  <si>
    <t>6.4</t>
  </si>
  <si>
    <t>6.05</t>
  </si>
  <si>
    <t>Supervise the operator for 5 laminates EL inspection from rework modules and verify correct operator assessment</t>
  </si>
  <si>
    <t>6.5</t>
  </si>
  <si>
    <t>6.06</t>
  </si>
  <si>
    <t>Ensure no cells are overhanging on the string repair trays</t>
  </si>
  <si>
    <t>(7)
Lamination</t>
  </si>
  <si>
    <t>7.01</t>
  </si>
  <si>
    <t>Recipe parameter settings are corrector according to PAS for specified BOM.
(e.g. temperature, evacuation time, pressure, curing time , vacuum , etc.)</t>
  </si>
  <si>
    <t>7.1</t>
  </si>
  <si>
    <t>7.02</t>
  </si>
  <si>
    <t>Check if record sheet for heating plate temperatures (all sensors per heating plate) are up-to-date.</t>
  </si>
  <si>
    <t>7.2</t>
  </si>
  <si>
    <t>7.04</t>
  </si>
  <si>
    <t>Ensure the laminator is clean and free of debris and excess EVA buildup.</t>
  </si>
  <si>
    <t>7.05</t>
  </si>
  <si>
    <t xml:space="preserve">Ensure that laminates are within lamination time limits and not being overcooked. </t>
  </si>
  <si>
    <t>7.06</t>
  </si>
  <si>
    <t>Check alignment and conditions of teflon sheets atop laminators</t>
  </si>
  <si>
    <t>May require equipment assistance</t>
  </si>
  <si>
    <t>7.07</t>
  </si>
  <si>
    <t>Verify a rack trolly with valid identification (WIP or Thrash) and stack according to limit</t>
  </si>
  <si>
    <t>(8)
Trimming</t>
  </si>
  <si>
    <t>8.01</t>
  </si>
  <si>
    <t>Ensure safety requirements are fullfilled according to local requirements (interlocks, and gloves when manual cutting).</t>
  </si>
  <si>
    <t>8.1</t>
  </si>
  <si>
    <t>8.02</t>
  </si>
  <si>
    <t>Check cutting quality (cut edge without tearing or frays).
Check the trimmimg residue condition (No residual EVA).
Check blade change is within max. cycle specification.</t>
  </si>
  <si>
    <t>8.2</t>
  </si>
  <si>
    <t>(9)
Laminate Inspection</t>
  </si>
  <si>
    <t>9.01</t>
  </si>
  <si>
    <t xml:space="preserve">Check if 100% laminate inspection (AOI or Manual) is done. 
In case of manual inspection use of correct jig according to product requirement (UL1000V - UL1500V) </t>
  </si>
  <si>
    <t>9.1</t>
  </si>
  <si>
    <t>9.02</t>
  </si>
  <si>
    <t>Check if non conforming modules (due to dielectric distance) are recorded and classified correctly.</t>
  </si>
  <si>
    <t>9.2</t>
  </si>
  <si>
    <t>9.03</t>
  </si>
  <si>
    <t>Check execution and recording of calibration procedure and condition of calibration module in case machine vision system (AOI) is used</t>
  </si>
  <si>
    <t>9.3</t>
  </si>
  <si>
    <t>9.04</t>
  </si>
  <si>
    <t>Ensure front AOI system is running and not in bypass, unless black backsheet modules are being run.</t>
  </si>
  <si>
    <t>9.05</t>
  </si>
  <si>
    <t>Check if Xlink is functional and tests have been preformed according to SOP.</t>
  </si>
  <si>
    <t xml:space="preserve">(10)
Frame Assembly </t>
  </si>
  <si>
    <t>10.01</t>
  </si>
  <si>
    <t>Check material compliance with BOM.  
(e.g. frame parts, corner keys, silicone). 
[If storage of nonconforming material at the workstation, increase rating to major]</t>
  </si>
  <si>
    <t>10.1</t>
  </si>
  <si>
    <t>10.02</t>
  </si>
  <si>
    <t>Check if shelf time of silicone is not expired .</t>
  </si>
  <si>
    <t>10.2</t>
  </si>
  <si>
    <t>10.03</t>
  </si>
  <si>
    <r>
      <t xml:space="preserve">Check if silicone weigth is measured and recorded based on global requirements,
</t>
    </r>
    <r>
      <rPr>
        <sz val="11"/>
        <rFont val="Actual Regular"/>
      </rPr>
      <t>Silicone weight: G-PAS-04-05-0002 Silicone weight for framing</t>
    </r>
    <r>
      <rPr>
        <sz val="12"/>
        <rFont val="Actual Regular"/>
        <family val="2"/>
      </rPr>
      <t xml:space="preserve">
Verify corrective actions report in case of deviations.</t>
    </r>
  </si>
  <si>
    <t>Take photos of frame silicone edge with ruler</t>
  </si>
  <si>
    <t>10.3</t>
  </si>
  <si>
    <t>10.04</t>
  </si>
  <si>
    <t>Check if silicone processing (tack) time from application in frame parts until final frame assembly is adhered according to local SOP</t>
  </si>
  <si>
    <t>10.4</t>
  </si>
  <si>
    <t>10.05</t>
  </si>
  <si>
    <t>Miter gap, miter height and chamfer of frame corners is consistent with OSC
[If frame is distached, increase rating to Major]</t>
  </si>
  <si>
    <t>10.5</t>
  </si>
  <si>
    <t>10.06</t>
  </si>
  <si>
    <r>
      <t xml:space="preserve">Check if silicone wetting is measured and recorded based on global requirement
</t>
    </r>
    <r>
      <rPr>
        <sz val="11"/>
        <rFont val="Actual Regular"/>
      </rPr>
      <t>Silicone wetting: G-SOP-04-05-0004Silicone insp. frame station</t>
    </r>
    <r>
      <rPr>
        <sz val="12"/>
        <rFont val="Actual Regular"/>
        <family val="2"/>
      </rPr>
      <t xml:space="preserve">
Verify corrective actions report in case of deviations.</t>
    </r>
  </si>
  <si>
    <t>10.6</t>
  </si>
  <si>
    <t>10.07</t>
  </si>
  <si>
    <r>
      <t xml:space="preserve">Check clinching position according to Global SOP 
</t>
    </r>
    <r>
      <rPr>
        <sz val="11"/>
        <rFont val="Actual Regular"/>
      </rPr>
      <t>(G-SOP-04-05-0007)</t>
    </r>
  </si>
  <si>
    <t>20.1</t>
  </si>
  <si>
    <t>10.08</t>
  </si>
  <si>
    <t>Ensure silicone is injected into frames homogeneously</t>
  </si>
  <si>
    <t>10.09</t>
  </si>
  <si>
    <t>Check frames for minor damage. 
[If damage removes anodized layer i.e. scratches, then increase rating to major]</t>
  </si>
  <si>
    <t>10.10</t>
  </si>
  <si>
    <t>Ensure frame vision system is running and not in bypass.</t>
  </si>
  <si>
    <t>10.11</t>
  </si>
  <si>
    <t>Check status of frame silicone tips, and ensure there is no leakage onto framing station.</t>
  </si>
  <si>
    <t>10.12</t>
  </si>
  <si>
    <t>Check frame silicone weight is within specified specifications</t>
  </si>
  <si>
    <t>10.13</t>
  </si>
  <si>
    <t>Ensure material traceability in frame assembly area.
(e.g. Long frame, short frame, and silicone)</t>
  </si>
  <si>
    <t>(11)
J-box assembly</t>
  </si>
  <si>
    <t>11.01</t>
  </si>
  <si>
    <t>Ensure J-box silicone weight is measured and recorded based upon the global requirements stated in: 
G-PAS-04-05-0001</t>
  </si>
  <si>
    <t>11.1</t>
  </si>
  <si>
    <t>11.02</t>
  </si>
  <si>
    <t>Check pottant solidification sample for curing, color and  appearance.
Check if weight measurements Jbox silicone and pottant (for both components) are recorded according to SOP.</t>
  </si>
  <si>
    <t>11.2</t>
  </si>
  <si>
    <t>11.03</t>
  </si>
  <si>
    <t>Verify soldering quality against global requirements
(G-PAS-04-05-0004 Junction Box - Soldering criteria)</t>
  </si>
  <si>
    <t>Done with CS tech</t>
  </si>
  <si>
    <t>11.3</t>
  </si>
  <si>
    <t>11.04</t>
  </si>
  <si>
    <t xml:space="preserve">Check material compliance with BOM
(e.g. J-Box, Pottant, Jbox silicone)
Storage of nonconforming material or unauthorized chemical substances at the workstation is not allowed. </t>
  </si>
  <si>
    <t>11.4</t>
  </si>
  <si>
    <t>11.05</t>
  </si>
  <si>
    <t>11.5</t>
  </si>
  <si>
    <t>11.06</t>
  </si>
  <si>
    <t>Check if silicone processing (tack) time from application of Jbox to backsheet until final J-Box assembly is within timeline specified in local SOP</t>
  </si>
  <si>
    <t>11.7</t>
  </si>
  <si>
    <t>11.07</t>
  </si>
  <si>
    <t>Check at least one sample to verify silicone overflow arround junction box is homogenous in appearance and is without interruptions, holes or gaps (good sealing).</t>
  </si>
  <si>
    <t>11.8</t>
  </si>
  <si>
    <t>11.08</t>
  </si>
  <si>
    <r>
      <t xml:space="preserve">Check that the 100% optical inspection and physical inspection (with screw-driver, pick, or other device) of solder joints of J-box is done in accordance to global requirements.
</t>
    </r>
    <r>
      <rPr>
        <sz val="11"/>
        <rFont val="Actual Regular"/>
      </rPr>
      <t>(G-PAS-04-05-0004 Junction Box - Soldering criteria)</t>
    </r>
  </si>
  <si>
    <t>11.9</t>
  </si>
  <si>
    <t>11.09</t>
  </si>
  <si>
    <t>Check J-Box pressing parameters (pressure, press time).</t>
  </si>
  <si>
    <t>11.10</t>
  </si>
  <si>
    <t>Check alignment of cross connections in relation to terminal position within J-Box</t>
  </si>
  <si>
    <t>11.11</t>
  </si>
  <si>
    <t>Verify if soldering temperature and conditon of solder unit is recorded according to SOP (if soldered version is used).</t>
  </si>
  <si>
    <t>11.12</t>
  </si>
  <si>
    <t>Check if pin downholders at JBox soldering work properly if used.</t>
  </si>
  <si>
    <t>11.14</t>
  </si>
  <si>
    <t>11.13</t>
  </si>
  <si>
    <t>Sample check if pottant filling height is according to global requirement. 
(OSC parameter B35)</t>
  </si>
  <si>
    <t>11.15</t>
  </si>
  <si>
    <t>Check J-box for damage, burns, and dents.</t>
  </si>
  <si>
    <t>Ensure material traceability in J-box assembly area.
(e.g. male j-box, female j-box, middle j-box,and silicone)</t>
  </si>
  <si>
    <t>11.16</t>
  </si>
  <si>
    <t>Check potting nozzle is in good condition and is not dirty, clogged, or missing.</t>
  </si>
  <si>
    <t>(12)
Sun simulator (flasher)</t>
  </si>
  <si>
    <t>12.01</t>
  </si>
  <si>
    <t>Surface flasher table is clean &amp; not smearing silicone, verify cleaning procedure (depends on used flasher type)</t>
  </si>
  <si>
    <t>12.1</t>
  </si>
  <si>
    <t>12.02</t>
  </si>
  <si>
    <r>
      <t xml:space="preserve">Verify calibration frequency and usage of correct calibration module </t>
    </r>
    <r>
      <rPr>
        <sz val="11"/>
        <rFont val="Actual Regular"/>
      </rPr>
      <t>(Bronze module only for reference measurement, Silver module for calibration).</t>
    </r>
    <r>
      <rPr>
        <sz val="12"/>
        <rFont val="Actual Regular"/>
        <family val="2"/>
      </rPr>
      <t xml:space="preserve">
Check clear identification of calibration and reference modules.</t>
    </r>
  </si>
  <si>
    <t>12.2</t>
  </si>
  <si>
    <t>12.03</t>
  </si>
  <si>
    <t xml:space="preserve">Check if temperature measurement of production modules is within allowed temperature range 20°C - 30°C.  </t>
  </si>
  <si>
    <t>12.3</t>
  </si>
  <si>
    <t>12.04</t>
  </si>
  <si>
    <r>
      <t xml:space="preserve">Check storage condition of calibration modules according to global requirement.
</t>
    </r>
    <r>
      <rPr>
        <sz val="11"/>
        <rFont val="Actual Regular"/>
      </rPr>
      <t>(G-SOP-04-01-0007 Calibration chain for the module flasher in the module production lines)</t>
    </r>
  </si>
  <si>
    <t>12.4</t>
  </si>
  <si>
    <t>12.05</t>
  </si>
  <si>
    <t>Check condition of calibration modules (including EL image)</t>
  </si>
  <si>
    <t>12.5</t>
  </si>
  <si>
    <t>12.06</t>
  </si>
  <si>
    <t>Check regular exchange of flasher connectors (plugs or pins) according SOP</t>
  </si>
  <si>
    <t>12.6</t>
  </si>
  <si>
    <t>12.07</t>
  </si>
  <si>
    <t>IR Sensor pointing on backsheet surface only, not on cables, J-Box or label.</t>
  </si>
  <si>
    <t>12.8</t>
  </si>
  <si>
    <t>12.08</t>
  </si>
  <si>
    <t>Positioning of calibration module is same as production module (same module centering process).</t>
  </si>
  <si>
    <t>12.9</t>
  </si>
  <si>
    <t>12.09</t>
  </si>
  <si>
    <t>Flasher mask (e.g black covering) matches with module size and position (applies for table flasher only)</t>
  </si>
  <si>
    <t>12.10</t>
  </si>
  <si>
    <t>Check protocol of monitor cell cleaning. After cleaning of monitor cell calibration has to be done!</t>
  </si>
  <si>
    <t>12.11</t>
  </si>
  <si>
    <t>Check power classifications with simulator against BOM.</t>
  </si>
  <si>
    <t>(13)
Grounding tester</t>
  </si>
  <si>
    <t>13.01</t>
  </si>
  <si>
    <t>Verify test parameter settings according to QSP and that the tester is functioning correctly.</t>
  </si>
  <si>
    <t>13.1</t>
  </si>
  <si>
    <t>13.02</t>
  </si>
  <si>
    <t>The contact pins must fit correctly into the grounding holes.
Middle pin should be unactivated if no middle rail is present.</t>
  </si>
  <si>
    <t>13.2</t>
  </si>
  <si>
    <t>13.03</t>
  </si>
  <si>
    <t>Check execution of fail check procedure, condition of reference module if used and results are recorded.</t>
  </si>
  <si>
    <t>13.3</t>
  </si>
  <si>
    <t>(14)
Hi-pot tester</t>
  </si>
  <si>
    <t>14.01</t>
  </si>
  <si>
    <t>Test parameter settings according to SOP and QSP and that the tester is functioning correctly</t>
  </si>
  <si>
    <t>14.1</t>
  </si>
  <si>
    <t>14.02</t>
  </si>
  <si>
    <t>Check execution of calibration procedure, condition of reference module if used and results are recorded.</t>
  </si>
  <si>
    <t>14.2</t>
  </si>
  <si>
    <t>14.03</t>
  </si>
  <si>
    <t>Safety devices are available, functional and conform with local requirements.</t>
  </si>
  <si>
    <t>14.3</t>
  </si>
  <si>
    <t>14.04</t>
  </si>
  <si>
    <t>Ensure pins alignement is correct for hipot tester, and hits within the j-box.</t>
  </si>
  <si>
    <t>(15)
Final EL</t>
  </si>
  <si>
    <t>15.01</t>
  </si>
  <si>
    <t>Supervise 5 modules EL inspection or review of 10 EL images from running production and verify correct assessment.</t>
  </si>
  <si>
    <t>15.1</t>
  </si>
  <si>
    <t>15.02</t>
  </si>
  <si>
    <t>Check if EL offspec modules are identified and classified correctly.</t>
  </si>
  <si>
    <t>15.2</t>
  </si>
  <si>
    <t>15.03</t>
  </si>
  <si>
    <t>Ensure pins alignement is correct for final EL, and hits within the j-box.</t>
  </si>
  <si>
    <t>(16)
FQC &amp; Curing</t>
  </si>
  <si>
    <t>16.01</t>
  </si>
  <si>
    <t>Check corners of modules in curing to ensure framer is not bending back the EVA/BS.</t>
  </si>
  <si>
    <t>16.02</t>
  </si>
  <si>
    <t>Check temperature and humidity in curing room is recorded and results are within local criteria according to SOP</t>
  </si>
  <si>
    <t>16.03</t>
  </si>
  <si>
    <t>Supervise operator for 5 modules OSC's check and verify  operator assessment (classification)</t>
  </si>
  <si>
    <t>16.1</t>
  </si>
  <si>
    <t>16.04</t>
  </si>
  <si>
    <t>Check availability and condition of measurement tools and check the function of illumination</t>
  </si>
  <si>
    <t>16.2</t>
  </si>
  <si>
    <t>16.05</t>
  </si>
  <si>
    <t>Cable connectors are fixed properly according to SOP</t>
  </si>
  <si>
    <t>16.3</t>
  </si>
  <si>
    <t>16.06</t>
  </si>
  <si>
    <t>Check power label: conform with latest revision, readable, complete data print, label position</t>
  </si>
  <si>
    <t>16.4</t>
  </si>
  <si>
    <t>16.07</t>
  </si>
  <si>
    <t>Check power classifications at label printers against BOM.</t>
  </si>
  <si>
    <t>(17)
Packaging</t>
  </si>
  <si>
    <t>17.01</t>
  </si>
  <si>
    <t>Packaging material including carton box, plastic belts and pallet is without damage, correct artwork and corner protectors are applied on each module.</t>
  </si>
  <si>
    <t>17.2</t>
  </si>
  <si>
    <t>17.02</t>
  </si>
  <si>
    <t>Frame label position and direction is consistent with SOP &amp; OSC.
Check frame label and power label Module ID is same for 5 modules.</t>
  </si>
  <si>
    <t>17.3</t>
  </si>
  <si>
    <t>17.03</t>
  </si>
  <si>
    <t>Check for overstacking in the ports</t>
  </si>
  <si>
    <t>17.04</t>
  </si>
  <si>
    <t>Check for un-even stacking in the ports</t>
  </si>
  <si>
    <t>17.05</t>
  </si>
  <si>
    <t>Ensure pallet binder straps are tight to pallet</t>
  </si>
  <si>
    <t>(18) 
ESD protection</t>
  </si>
  <si>
    <t>18.01</t>
  </si>
  <si>
    <t xml:space="preserve">Check if operator at Jbox application and pottant application wear correct ESD protection cloth </t>
  </si>
  <si>
    <t>18.1</t>
  </si>
  <si>
    <t>18.02</t>
  </si>
  <si>
    <t>Size of ESD mats suitable size, properly utalized, grounded (cable proper connected).</t>
  </si>
  <si>
    <t>18.2</t>
  </si>
  <si>
    <t>18.03</t>
  </si>
  <si>
    <t>ESD measurement of electro static fields according to Global SOP (G-SOP-04-02-0001)</t>
  </si>
  <si>
    <t>18.3</t>
  </si>
  <si>
    <t>(19) 
Cell unpacking</t>
  </si>
  <si>
    <t>19.01</t>
  </si>
  <si>
    <t>Check that the pallets are unpacked without any damage.
Check that unpacking occurs according to local SOP.</t>
  </si>
  <si>
    <t>19.03</t>
  </si>
  <si>
    <t>Check that empty magazines clean of cell debris.</t>
  </si>
  <si>
    <t>19.04</t>
  </si>
  <si>
    <t xml:space="preserve">Ensure that all four sizes of magazines are being inspected. </t>
  </si>
  <si>
    <t>19.05</t>
  </si>
  <si>
    <t>Ensure cells are being correctly loaded into into magazines, with no damage to cells.</t>
  </si>
  <si>
    <t>19.06</t>
  </si>
  <si>
    <t>Check loaded cells are even and level in the magazines.</t>
  </si>
  <si>
    <t>19.07</t>
  </si>
  <si>
    <t>Ensure cell boxes are arranged correctly and not hitting over other boxes.</t>
  </si>
  <si>
    <t>19.08</t>
  </si>
  <si>
    <t>Ensure knife blades are not left open and unattended in the kitting area.</t>
  </si>
  <si>
    <t xml:space="preserve">(20)
Cleaving
</t>
  </si>
  <si>
    <t>20.01</t>
  </si>
  <si>
    <t>Check cells size(M2 or M4) &amp; generation,flux, and cross connector according to BOM</t>
  </si>
  <si>
    <t>2.1</t>
  </si>
  <si>
    <t>20.02</t>
  </si>
  <si>
    <t>Cleaving (TLS/SPI/XN) recipe parameters are according to PAS</t>
  </si>
  <si>
    <t>2.3</t>
  </si>
  <si>
    <t>20.03</t>
  </si>
  <si>
    <t>Magazine condition (Any potential to contribute cells breakage), General housekeeping condition on sorting table</t>
  </si>
  <si>
    <t>2.4</t>
  </si>
  <si>
    <t>20.04</t>
  </si>
  <si>
    <t>Monitor MO handling cells ( Magazine transfer limits and stacked, Cells sorting)</t>
  </si>
  <si>
    <t>2.5</t>
  </si>
  <si>
    <t>20.05</t>
  </si>
  <si>
    <t>Ensure the rotation of the magazine cards are correct.</t>
  </si>
  <si>
    <t>20.06</t>
  </si>
  <si>
    <t>ensure optical assessment of half cells according to global PAS (G-PAS-04-05-0007)</t>
  </si>
  <si>
    <t>20.07</t>
  </si>
  <si>
    <t>Check general status of tools/equipment/parameters according to local SOP</t>
  </si>
  <si>
    <t>(21) Kitting</t>
  </si>
  <si>
    <t>21.01</t>
  </si>
  <si>
    <t>Ensure that there is no mistreatment or damage of raw materials.</t>
  </si>
  <si>
    <t>(22) 
CS Issues</t>
  </si>
  <si>
    <t>22.01</t>
  </si>
  <si>
    <t>Check that module with appled silicone before j box attachment is removed for rework if line is down for 5 minutes or more</t>
  </si>
  <si>
    <t>22.02</t>
  </si>
  <si>
    <t>Check that all frames with silicone deposited are removed from the line if the line is down for more than 4 minutes</t>
  </si>
  <si>
    <t>22.03</t>
  </si>
  <si>
    <t>check to verify potting is in spec for the correct raw material/Check curing room to ensure diode is covered</t>
  </si>
  <si>
    <t>22.04</t>
  </si>
  <si>
    <t>Check that all potting/silicone check sheets are filled out and in spec</t>
  </si>
  <si>
    <t>22.05</t>
  </si>
  <si>
    <t>Check that all EL is on automatic. If not inform supervisors to ensure manual judgement is done. -put in report and report to Alan</t>
  </si>
  <si>
    <t>22.06</t>
  </si>
  <si>
    <t>Check soldering sheet at manual solder station</t>
  </si>
  <si>
    <t>22.07</t>
  </si>
  <si>
    <r>
      <t>Check</t>
    </r>
    <r>
      <rPr>
        <b/>
        <sz val="12"/>
        <color theme="1"/>
        <rFont val="Actual Regular"/>
      </rPr>
      <t xml:space="preserve"> Downright </t>
    </r>
    <r>
      <rPr>
        <sz val="12"/>
        <color theme="1"/>
        <rFont val="Actual Regular"/>
        <family val="2"/>
      </rPr>
      <t>alignment and pressure. Ensure no damage is occuring to the backsheet, cells, or busbars. 
[If backsheet scratch occurs (on 10+ modules), change severity to CRITICAL]</t>
    </r>
  </si>
  <si>
    <t>22.08</t>
  </si>
  <si>
    <r>
      <t>Check</t>
    </r>
    <r>
      <rPr>
        <b/>
        <sz val="12"/>
        <color theme="1"/>
        <rFont val="Actual Regular"/>
      </rPr>
      <t xml:space="preserve"> Upright </t>
    </r>
    <r>
      <rPr>
        <sz val="12"/>
        <color theme="1"/>
        <rFont val="Actual Regular"/>
        <family val="2"/>
      </rPr>
      <t>alignment and pressure. Ensure no damage is occuring to the backsheet, cells, or busbars. 
[If backsheet scratch occurs (on 10+ modules), change severity to CRITICAL]</t>
    </r>
  </si>
  <si>
    <t>22.09</t>
  </si>
  <si>
    <t>Check cross connector over soldering check sheet</t>
  </si>
  <si>
    <t>to be checked once per shift</t>
  </si>
  <si>
    <t>to be check every patrol (x3+)</t>
  </si>
  <si>
    <t>to be checked monthly across all production lines</t>
  </si>
  <si>
    <t>IPQC Finding Sheet</t>
  </si>
  <si>
    <t>Auditor Name</t>
  </si>
  <si>
    <t>IPQC No.</t>
  </si>
  <si>
    <t>Date</t>
  </si>
  <si>
    <t>Auditor Names</t>
  </si>
  <si>
    <t>Description</t>
  </si>
  <si>
    <t xml:space="preserve"> Shift</t>
  </si>
  <si>
    <t xml:space="preserve"> Line</t>
  </si>
  <si>
    <t>Machine</t>
  </si>
  <si>
    <t>Comments / Suggested Fix</t>
  </si>
  <si>
    <t>T-Money</t>
  </si>
  <si>
    <t>Contact PIC</t>
  </si>
  <si>
    <t>Contact Team</t>
  </si>
  <si>
    <t>Upload image</t>
  </si>
  <si>
    <t>ATTEMPT.jpg</t>
  </si>
  <si>
    <t>Global IPQC check items included from:</t>
  </si>
  <si>
    <t>G-FRM-01-03-02-01-0002</t>
  </si>
  <si>
    <t>Additional local check items included</t>
  </si>
  <si>
    <t>CW</t>
  </si>
  <si>
    <t>Month</t>
  </si>
  <si>
    <t>Year</t>
  </si>
  <si>
    <t>Shift</t>
  </si>
  <si>
    <t>Occurances</t>
  </si>
  <si>
    <t>Line1</t>
  </si>
  <si>
    <t>Line2</t>
  </si>
  <si>
    <t>Line3</t>
  </si>
  <si>
    <t>Location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</si>
  <si>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</si>
  <si>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</si>
  <si>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</si>
  <si>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</si>
  <si>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</si>
  <si>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</si>
  <si>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</si>
  <si>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</si>
  <si>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</si>
  <si>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</si>
  <si>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</si>
  <si>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</si>
  <si>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</si>
  <si>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General item check</t>
  </si>
  <si>
    <t>PPE</t>
  </si>
  <si>
    <t>Temp-Hum Check</t>
  </si>
  <si>
    <t>Barriers</t>
  </si>
  <si>
    <t>FE YellowCabinet</t>
  </si>
  <si>
    <t>BE YellowCabinet</t>
  </si>
  <si>
    <t>Potting cabinet</t>
  </si>
  <si>
    <t>Tabbing (string soldering)</t>
  </si>
  <si>
    <t>Tabber1</t>
  </si>
  <si>
    <t>Tabber2</t>
  </si>
  <si>
    <t>Tabber3</t>
  </si>
  <si>
    <t>Tabber4</t>
  </si>
  <si>
    <t>Tabber5</t>
  </si>
  <si>
    <t>Tabber6</t>
  </si>
  <si>
    <t>Tabber7</t>
  </si>
  <si>
    <t>Tabber8</t>
  </si>
  <si>
    <t>Tabber9</t>
  </si>
  <si>
    <t>Tabber10</t>
  </si>
  <si>
    <t>Tabber11</t>
  </si>
  <si>
    <t>Tabber12</t>
  </si>
  <si>
    <t>Multiple</t>
  </si>
  <si>
    <t>Cell Matrix Layup &amp; Soldering</t>
  </si>
  <si>
    <t>BB feeder1</t>
  </si>
  <si>
    <t>BB feeder2</t>
  </si>
  <si>
    <t>BB feeder3</t>
  </si>
  <si>
    <t>BB feeder4</t>
  </si>
  <si>
    <t>Layup</t>
  </si>
  <si>
    <t>AOI</t>
  </si>
  <si>
    <t>EVA1</t>
  </si>
  <si>
    <t>EVA2</t>
  </si>
  <si>
    <t>BS</t>
  </si>
  <si>
    <t>Glass Loading</t>
  </si>
  <si>
    <t>pre EL</t>
  </si>
  <si>
    <t>EL machine</t>
  </si>
  <si>
    <t>Label Attach</t>
  </si>
  <si>
    <t>Cell &amp; String Rework</t>
  </si>
  <si>
    <t>Station1</t>
  </si>
  <si>
    <t>Station2</t>
  </si>
  <si>
    <t>Station3</t>
  </si>
  <si>
    <t>Station4</t>
  </si>
  <si>
    <t>Station5</t>
  </si>
  <si>
    <t>Station6</t>
  </si>
  <si>
    <t>Soldering Table</t>
  </si>
  <si>
    <t>Lamination</t>
  </si>
  <si>
    <t>Lami 1</t>
  </si>
  <si>
    <t>Lami 2</t>
  </si>
  <si>
    <t>Lami 3</t>
  </si>
  <si>
    <t>Lami 4</t>
  </si>
  <si>
    <t>Trimming</t>
  </si>
  <si>
    <t>Timmer 1</t>
  </si>
  <si>
    <t>Timmer 2</t>
  </si>
  <si>
    <t>Laminate Inspection</t>
  </si>
  <si>
    <t>Front</t>
  </si>
  <si>
    <t>Back</t>
  </si>
  <si>
    <t>Frame assembly</t>
  </si>
  <si>
    <t>Framer 1</t>
  </si>
  <si>
    <t>Framer 2</t>
  </si>
  <si>
    <t>Short Frame</t>
  </si>
  <si>
    <t>Long Frame</t>
  </si>
  <si>
    <t>Corner grinder</t>
  </si>
  <si>
    <t>J-box assembly</t>
  </si>
  <si>
    <t>Solder check</t>
  </si>
  <si>
    <t>JSO1</t>
  </si>
  <si>
    <t>JSO2</t>
  </si>
  <si>
    <t>Positive Jbox</t>
  </si>
  <si>
    <t>Negative Jbox</t>
  </si>
  <si>
    <t>Middle Jbox</t>
  </si>
  <si>
    <t>Sun simulator(flasher)</t>
  </si>
  <si>
    <t>Pins</t>
  </si>
  <si>
    <t>Alignment</t>
  </si>
  <si>
    <t>Grounding tester</t>
  </si>
  <si>
    <t>Wires</t>
  </si>
  <si>
    <t>Hi-pot tester</t>
  </si>
  <si>
    <t>Final EL</t>
  </si>
  <si>
    <t>EL Machine</t>
  </si>
  <si>
    <t>FQC &amp; Curing</t>
  </si>
  <si>
    <t>Curing</t>
  </si>
  <si>
    <t>FQC</t>
  </si>
  <si>
    <t>Packaging</t>
  </si>
  <si>
    <t>Line 1 Ports</t>
  </si>
  <si>
    <t>Line 2 Ports</t>
  </si>
  <si>
    <t>Line 3 Ports</t>
  </si>
  <si>
    <t>ESD Protection</t>
  </si>
  <si>
    <t>Cell unpacking</t>
  </si>
  <si>
    <t>Table1</t>
  </si>
  <si>
    <t>Table2</t>
  </si>
  <si>
    <t>Table3</t>
  </si>
  <si>
    <t>Cleaving</t>
  </si>
  <si>
    <t>Station7</t>
  </si>
  <si>
    <t>Station8</t>
  </si>
  <si>
    <t>Station9</t>
  </si>
  <si>
    <t>Kitting</t>
  </si>
  <si>
    <t>EVA</t>
  </si>
  <si>
    <t>Glass</t>
  </si>
  <si>
    <t>J-box</t>
  </si>
  <si>
    <t>Cells</t>
  </si>
  <si>
    <t>Back sheet</t>
  </si>
  <si>
    <t>CS Issues</t>
  </si>
  <si>
    <t>Rework</t>
  </si>
  <si>
    <t>Upright</t>
  </si>
  <si>
    <t>Downright</t>
  </si>
  <si>
    <t>Top Numbers</t>
  </si>
  <si>
    <t xml:space="preserve"> </t>
  </si>
  <si>
    <t>Rolling Avg</t>
  </si>
  <si>
    <t>Total</t>
  </si>
  <si>
    <t>E01</t>
  </si>
  <si>
    <t>E02</t>
  </si>
  <si>
    <t>E03</t>
  </si>
  <si>
    <t>ALL</t>
  </si>
  <si>
    <t xml:space="preserve">  </t>
  </si>
  <si>
    <t>Finding Status?</t>
  </si>
  <si>
    <t>Auditor</t>
  </si>
  <si>
    <t>Process No</t>
  </si>
  <si>
    <t>Process Name</t>
  </si>
  <si>
    <t>Additional Comments</t>
  </si>
  <si>
    <t>Machine No.</t>
  </si>
  <si>
    <t>Open/ Closed</t>
  </si>
  <si>
    <t>Contact Position</t>
  </si>
  <si>
    <t>conveyer</t>
  </si>
  <si>
    <t>January</t>
  </si>
  <si>
    <t xml:space="preserve">SILICONE BUILD UP ON GRIPPER_x000D_
</t>
  </si>
  <si>
    <t>12.M</t>
  </si>
  <si>
    <t>CLOSED</t>
  </si>
  <si>
    <t>Supervisor</t>
  </si>
  <si>
    <t>Production</t>
  </si>
  <si>
    <t>Current Status</t>
  </si>
  <si>
    <t xml:space="preserve">EVA &amp; BS prep &amp; Layup </t>
  </si>
  <si>
    <t>silicone barrel</t>
  </si>
  <si>
    <t>Check Item</t>
  </si>
  <si>
    <t>Comment</t>
  </si>
  <si>
    <t>Modules or Raw Material improperly stored in line.
(e.g. on ground with no pallet, improperly stacked, ect.)</t>
  </si>
  <si>
    <t>1.10</t>
  </si>
  <si>
    <r>
      <t xml:space="preserve">Module crashes or drops (including side to side crashes)
[If crash occurs </t>
    </r>
    <r>
      <rPr>
        <u/>
        <sz val="12"/>
        <rFont val="Actual Regular"/>
      </rPr>
      <t>after</t>
    </r>
    <r>
      <rPr>
        <sz val="12"/>
        <rFont val="Actual Regular"/>
        <family val="2"/>
      </rPr>
      <t xml:space="preserve"> BEL increase rating to </t>
    </r>
    <r>
      <rPr>
        <sz val="12"/>
        <color rgb="FFC00000"/>
        <rFont val="Actual Regular"/>
      </rPr>
      <t>Critical</t>
    </r>
    <r>
      <rPr>
        <sz val="12"/>
        <rFont val="Actual Regular"/>
        <family val="2"/>
      </rPr>
      <t xml:space="preserve">]
[If crash occurs </t>
    </r>
    <r>
      <rPr>
        <sz val="12"/>
        <rFont val="Actual Regular"/>
      </rPr>
      <t>on TL 01 or TL 02 after BEL</t>
    </r>
    <r>
      <rPr>
        <sz val="12"/>
        <rFont val="Actual Regular"/>
        <family val="2"/>
      </rPr>
      <t xml:space="preserve"> leave it as a </t>
    </r>
    <r>
      <rPr>
        <sz val="12"/>
        <color theme="5" tint="-0.249977111117893"/>
        <rFont val="Actual Regular"/>
      </rPr>
      <t>Major</t>
    </r>
    <r>
      <rPr>
        <sz val="12"/>
        <rFont val="Actual Regular"/>
        <family val="2"/>
      </rPr>
      <t>]</t>
    </r>
  </si>
  <si>
    <t>Severe</t>
  </si>
  <si>
    <t>Ensure shelf time of Jbox silicone and pottant is not expired.</t>
  </si>
  <si>
    <t>Closed in 24Hr</t>
  </si>
  <si>
    <t>Still Open</t>
  </si>
  <si>
    <t>Closed in &gt;24hrs</t>
  </si>
  <si>
    <t>Rate</t>
  </si>
  <si>
    <t>Check if silicone weigth is measured and recorded based on global requirements, Silicone weight: G-PAS-04-05-0002 Silicone weight for framing Verify corrective actions report in case of deviations.</t>
  </si>
  <si>
    <t>MONTH</t>
  </si>
  <si>
    <t>Verify with OQC and IQC leads tools are in calibration 
as well as tool condition meets requirment for proper use.</t>
  </si>
  <si>
    <t>.</t>
  </si>
  <si>
    <t>Check if silicone wetting is measured and recorded based on global requirement Silicone wetting: G-SOP-04-05-0004Silicone insp. frame station Verify corrective actions report in case of deviations.</t>
  </si>
  <si>
    <t>Tech Name 1</t>
  </si>
  <si>
    <t>Tech Name 2</t>
  </si>
  <si>
    <t>Tech Name 3</t>
  </si>
  <si>
    <t>Tech Name 4</t>
  </si>
  <si>
    <t>Tech Name 5</t>
  </si>
  <si>
    <t>Tech Name 6</t>
  </si>
  <si>
    <t>Tech Name 7</t>
  </si>
  <si>
    <t>Tech Name 8</t>
  </si>
  <si>
    <t>Tech Name 9</t>
  </si>
  <si>
    <t>Tech Name 10</t>
  </si>
  <si>
    <t>Tech Name 11</t>
  </si>
  <si>
    <t>Tech Name 12</t>
  </si>
  <si>
    <t>Tech Name 13</t>
  </si>
  <si>
    <t>Tech Name 14</t>
  </si>
  <si>
    <t>Tech Name 15</t>
  </si>
  <si>
    <t>Tech Name 16</t>
  </si>
  <si>
    <t>Tech Name 17</t>
  </si>
  <si>
    <t>Tech Name 18</t>
  </si>
  <si>
    <t>Tech Name 19</t>
  </si>
  <si>
    <t>Tech Name 20</t>
  </si>
  <si>
    <t>Tech Name 21</t>
  </si>
  <si>
    <t>Tech Name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</si>
</sst>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Actual Regular"/>
      <family val="2"/>
    </font>
    <font>
      <sz val="11"/>
      <color theme="1"/>
      <name val="Actual Regular"/>
    </font>
    <font>
      <sz val="12"/>
      <color theme="1"/>
      <name val="Actual Regular"/>
      <family val="2"/>
    </font>
    <font>
      <sz val="12"/>
      <name val="新細明體"/>
      <charset val="134"/>
    </font>
    <font>
      <b/>
      <sz val="12"/>
      <name val="Actual Regular"/>
      <family val="2"/>
    </font>
    <font>
      <sz val="14"/>
      <name val="Actual Regular"/>
      <family val="2"/>
    </font>
    <font>
      <sz val="12"/>
      <name val="Actual Regular"/>
      <family val="2"/>
    </font>
    <font>
      <sz val="12"/>
      <color theme="4" tint="-0.499984740745262"/>
      <name val="Actual Regular"/>
      <family val="2"/>
    </font>
    <font>
      <sz val="16"/>
      <color theme="1"/>
      <name val="Actual Regular"/>
      <family val="2"/>
    </font>
    <font>
      <u/>
      <sz val="12"/>
      <name val="Actual Regular"/>
    </font>
    <font>
      <sz val="12"/>
      <color rgb="FFC00000"/>
      <name val="Actual Regular"/>
    </font>
    <font>
      <sz val="12"/>
      <name val="Actual Regular"/>
    </font>
    <font>
      <sz val="12"/>
      <color theme="5" tint="-0.249977111117893"/>
      <name val="Actual Regular"/>
    </font>
    <font>
      <sz val="11"/>
      <name val="Actual Regular"/>
    </font>
    <font>
      <i/>
      <sz val="12"/>
      <color theme="1"/>
      <name val="Actual Regular"/>
      <family val="2"/>
    </font>
    <font>
      <i/>
      <sz val="16"/>
      <color theme="1"/>
      <name val="Actual Regular"/>
      <family val="2"/>
    </font>
    <font>
      <sz val="12"/>
      <color theme="1"/>
      <name val="Actual Regular"/>
    </font>
    <font>
      <b/>
      <sz val="12"/>
      <color theme="1"/>
      <name val="Actual Regular"/>
    </font>
    <font>
      <sz val="14"/>
      <color theme="1"/>
      <name val="Actual Regular"/>
      <family val="2"/>
    </font>
    <font>
      <b/>
      <sz val="12"/>
      <color theme="1"/>
      <name val="Actual Regular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rgb="FFEEF8EE"/>
      <name val="Calibri"/>
      <family val="2"/>
      <scheme val="minor"/>
    </font>
    <font>
      <sz val="11"/>
      <color rgb="FFEEF8EE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7"/>
      <color theme="2" tint="-9.9978637043366805E-2"/>
      <name val="Calibri"/>
      <family val="2"/>
      <scheme val="minor"/>
    </font>
    <font>
      <b/>
      <sz val="10"/>
      <color theme="0"/>
      <name val="Actual Regular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8"/>
      <color theme="0"/>
      <name val="Actual Regular"/>
      <family val="2"/>
    </font>
    <font>
      <b/>
      <sz val="11"/>
      <color theme="0"/>
      <name val="Actual Regular"/>
      <family val="2"/>
    </font>
    <font>
      <sz val="11"/>
      <name val="Actual Regular"/>
      <family val="2"/>
    </font>
    <font>
      <b/>
      <sz val="16"/>
      <color theme="1"/>
      <name val="Amasis MT Pro Black"/>
      <family val="1"/>
    </font>
    <font>
      <u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8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A348C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4" xfId="0" applyBorder="1"/>
    <xf numFmtId="49" fontId="7" fillId="0" borderId="3" xfId="0" applyNumberFormat="1" applyFont="1" applyBorder="1" applyAlignment="1">
      <alignment horizontal="center" vertical="center"/>
    </xf>
    <xf numFmtId="0" fontId="9" fillId="3" borderId="5" xfId="2" applyFont="1" applyFill="1" applyBorder="1" applyAlignment="1">
      <alignment horizontal="center" vertical="center" wrapText="1"/>
    </xf>
    <xf numFmtId="49" fontId="9" fillId="3" borderId="6" xfId="2" applyNumberFormat="1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/>
    </xf>
    <xf numFmtId="0" fontId="9" fillId="3" borderId="7" xfId="2" applyFont="1" applyFill="1" applyBorder="1" applyAlignment="1">
      <alignment horizontal="center" vertical="center" wrapText="1"/>
    </xf>
    <xf numFmtId="49" fontId="9" fillId="3" borderId="1" xfId="2" applyNumberFormat="1" applyFont="1" applyFill="1" applyBorder="1" applyAlignment="1">
      <alignment horizontal="center" vertical="center" wrapText="1"/>
    </xf>
    <xf numFmtId="49" fontId="12" fillId="6" borderId="9" xfId="2" applyNumberFormat="1" applyFont="1" applyFill="1" applyBorder="1" applyAlignment="1">
      <alignment horizontal="center" vertical="center"/>
    </xf>
    <xf numFmtId="0" fontId="11" fillId="5" borderId="9" xfId="2" applyFont="1" applyFill="1" applyBorder="1" applyAlignment="1">
      <alignment horizontal="left" vertical="center" wrapText="1"/>
    </xf>
    <xf numFmtId="0" fontId="11" fillId="5" borderId="9" xfId="2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vertical="center"/>
    </xf>
    <xf numFmtId="0" fontId="7" fillId="5" borderId="10" xfId="0" quotePrefix="1" applyFont="1" applyFill="1" applyBorder="1" applyAlignment="1">
      <alignment vertical="center" wrapText="1"/>
    </xf>
    <xf numFmtId="49" fontId="7" fillId="5" borderId="11" xfId="0" quotePrefix="1" applyNumberFormat="1" applyFont="1" applyFill="1" applyBorder="1" applyAlignment="1">
      <alignment horizontal="center" vertical="center"/>
    </xf>
    <xf numFmtId="49" fontId="12" fillId="6" borderId="13" xfId="2" applyNumberFormat="1" applyFont="1" applyFill="1" applyBorder="1" applyAlignment="1">
      <alignment horizontal="center" vertical="center"/>
    </xf>
    <xf numFmtId="0" fontId="11" fillId="5" borderId="13" xfId="2" applyFont="1" applyFill="1" applyBorder="1" applyAlignment="1">
      <alignment horizontal="left" vertical="center" wrapText="1"/>
    </xf>
    <xf numFmtId="0" fontId="11" fillId="5" borderId="13" xfId="2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vertical="center"/>
    </xf>
    <xf numFmtId="0" fontId="7" fillId="5" borderId="14" xfId="0" applyFont="1" applyFill="1" applyBorder="1" applyAlignment="1">
      <alignment vertical="center" wrapText="1"/>
    </xf>
    <xf numFmtId="49" fontId="7" fillId="5" borderId="15" xfId="0" applyNumberFormat="1" applyFont="1" applyFill="1" applyBorder="1" applyAlignment="1">
      <alignment horizontal="center" vertical="center"/>
    </xf>
    <xf numFmtId="0" fontId="7" fillId="5" borderId="14" xfId="0" quotePrefix="1" applyFont="1" applyFill="1" applyBorder="1" applyAlignment="1">
      <alignment vertical="center" wrapText="1"/>
    </xf>
    <xf numFmtId="0" fontId="13" fillId="0" borderId="4" xfId="0" applyFont="1" applyBorder="1" applyAlignment="1">
      <alignment vertical="center"/>
    </xf>
    <xf numFmtId="49" fontId="12" fillId="6" borderId="17" xfId="2" applyNumberFormat="1" applyFont="1" applyFill="1" applyBorder="1" applyAlignment="1">
      <alignment horizontal="center" vertical="center"/>
    </xf>
    <xf numFmtId="0" fontId="11" fillId="5" borderId="17" xfId="2" applyFont="1" applyFill="1" applyBorder="1" applyAlignment="1">
      <alignment horizontal="left" vertical="center" wrapText="1"/>
    </xf>
    <xf numFmtId="0" fontId="11" fillId="5" borderId="17" xfId="2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vertical="center"/>
    </xf>
    <xf numFmtId="0" fontId="7" fillId="5" borderId="18" xfId="0" applyFont="1" applyFill="1" applyBorder="1" applyAlignment="1">
      <alignment vertical="center" wrapText="1"/>
    </xf>
    <xf numFmtId="49" fontId="7" fillId="5" borderId="19" xfId="0" applyNumberFormat="1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vertical="center" wrapText="1"/>
    </xf>
    <xf numFmtId="49" fontId="7" fillId="5" borderId="11" xfId="0" applyNumberFormat="1" applyFont="1" applyFill="1" applyBorder="1" applyAlignment="1">
      <alignment horizontal="center" vertical="center"/>
    </xf>
    <xf numFmtId="49" fontId="12" fillId="6" borderId="21" xfId="2" applyNumberFormat="1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left" vertical="center" wrapText="1"/>
    </xf>
    <xf numFmtId="0" fontId="11" fillId="5" borderId="21" xfId="2" applyFont="1" applyFill="1" applyBorder="1" applyAlignment="1">
      <alignment horizontal="center" vertical="center" wrapText="1"/>
    </xf>
    <xf numFmtId="0" fontId="7" fillId="5" borderId="21" xfId="0" applyFont="1" applyFill="1" applyBorder="1" applyAlignment="1">
      <alignment vertical="center"/>
    </xf>
    <xf numFmtId="0" fontId="7" fillId="5" borderId="22" xfId="0" applyFont="1" applyFill="1" applyBorder="1" applyAlignment="1">
      <alignment vertical="center" wrapText="1"/>
    </xf>
    <xf numFmtId="49" fontId="7" fillId="5" borderId="23" xfId="0" applyNumberFormat="1" applyFont="1" applyFill="1" applyBorder="1" applyAlignment="1">
      <alignment horizontal="center" vertical="center"/>
    </xf>
    <xf numFmtId="49" fontId="12" fillId="6" borderId="24" xfId="2" applyNumberFormat="1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left" vertical="center" wrapText="1"/>
    </xf>
    <xf numFmtId="0" fontId="11" fillId="5" borderId="24" xfId="2" applyFont="1" applyFill="1" applyBorder="1" applyAlignment="1">
      <alignment horizontal="center" vertical="center" wrapText="1"/>
    </xf>
    <xf numFmtId="0" fontId="7" fillId="5" borderId="24" xfId="0" applyFont="1" applyFill="1" applyBorder="1" applyAlignment="1">
      <alignment vertical="center"/>
    </xf>
    <xf numFmtId="0" fontId="7" fillId="5" borderId="25" xfId="0" applyFont="1" applyFill="1" applyBorder="1" applyAlignment="1">
      <alignment vertical="center" wrapText="1"/>
    </xf>
    <xf numFmtId="49" fontId="7" fillId="5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49" fontId="12" fillId="6" borderId="27" xfId="2" applyNumberFormat="1" applyFont="1" applyFill="1" applyBorder="1" applyAlignment="1">
      <alignment horizontal="center" vertical="center"/>
    </xf>
    <xf numFmtId="0" fontId="11" fillId="5" borderId="27" xfId="2" applyFont="1" applyFill="1" applyBorder="1" applyAlignment="1">
      <alignment horizontal="left" vertical="center" wrapText="1"/>
    </xf>
    <xf numFmtId="0" fontId="11" fillId="5" borderId="27" xfId="2" applyFont="1" applyFill="1" applyBorder="1" applyAlignment="1">
      <alignment horizontal="center" vertical="center" wrapText="1"/>
    </xf>
    <xf numFmtId="0" fontId="7" fillId="5" borderId="27" xfId="0" applyFont="1" applyFill="1" applyBorder="1" applyAlignment="1">
      <alignment vertical="center"/>
    </xf>
    <xf numFmtId="0" fontId="7" fillId="5" borderId="30" xfId="0" applyFont="1" applyFill="1" applyBorder="1" applyAlignment="1">
      <alignment vertical="center" wrapText="1"/>
    </xf>
    <xf numFmtId="49" fontId="7" fillId="5" borderId="31" xfId="0" applyNumberFormat="1" applyFont="1" applyFill="1" applyBorder="1" applyAlignment="1">
      <alignment horizontal="center" vertical="center"/>
    </xf>
    <xf numFmtId="49" fontId="12" fillId="6" borderId="32" xfId="2" applyNumberFormat="1" applyFont="1" applyFill="1" applyBorder="1" applyAlignment="1">
      <alignment horizontal="center" vertical="center"/>
    </xf>
    <xf numFmtId="0" fontId="11" fillId="5" borderId="32" xfId="2" applyFont="1" applyFill="1" applyBorder="1" applyAlignment="1">
      <alignment horizontal="left" vertical="center" wrapText="1"/>
    </xf>
    <xf numFmtId="0" fontId="11" fillId="5" borderId="32" xfId="2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vertical="center"/>
    </xf>
    <xf numFmtId="0" fontId="7" fillId="5" borderId="33" xfId="0" applyFont="1" applyFill="1" applyBorder="1" applyAlignment="1">
      <alignment vertical="center" wrapText="1"/>
    </xf>
    <xf numFmtId="49" fontId="7" fillId="5" borderId="34" xfId="0" applyNumberFormat="1" applyFont="1" applyFill="1" applyBorder="1" applyAlignment="1">
      <alignment horizontal="center" vertical="center"/>
    </xf>
    <xf numFmtId="49" fontId="7" fillId="5" borderId="15" xfId="0" quotePrefix="1" applyNumberFormat="1" applyFont="1" applyFill="1" applyBorder="1" applyAlignment="1">
      <alignment horizontal="center" vertical="center"/>
    </xf>
    <xf numFmtId="49" fontId="7" fillId="5" borderId="23" xfId="0" quotePrefix="1" applyNumberFormat="1" applyFont="1" applyFill="1" applyBorder="1" applyAlignment="1">
      <alignment horizontal="center" vertical="center"/>
    </xf>
    <xf numFmtId="49" fontId="7" fillId="5" borderId="31" xfId="0" quotePrefix="1" applyNumberFormat="1" applyFont="1" applyFill="1" applyBorder="1" applyAlignment="1">
      <alignment horizontal="center" vertical="center"/>
    </xf>
    <xf numFmtId="0" fontId="11" fillId="5" borderId="9" xfId="2" applyFont="1" applyFill="1" applyBorder="1" applyAlignment="1">
      <alignment vertical="center" wrapText="1"/>
    </xf>
    <xf numFmtId="0" fontId="11" fillId="5" borderId="13" xfId="2" applyFont="1" applyFill="1" applyBorder="1" applyAlignment="1">
      <alignment vertical="center" wrapText="1"/>
    </xf>
    <xf numFmtId="0" fontId="11" fillId="5" borderId="17" xfId="2" applyFont="1" applyFill="1" applyBorder="1" applyAlignment="1">
      <alignment vertical="center" wrapText="1"/>
    </xf>
    <xf numFmtId="0" fontId="19" fillId="5" borderId="18" xfId="0" applyFont="1" applyFill="1" applyBorder="1" applyAlignment="1">
      <alignment vertical="center" wrapText="1"/>
    </xf>
    <xf numFmtId="0" fontId="10" fillId="4" borderId="35" xfId="2" applyFont="1" applyFill="1" applyBorder="1" applyAlignment="1">
      <alignment horizontal="center" vertical="center" textRotation="90" wrapText="1"/>
    </xf>
    <xf numFmtId="49" fontId="12" fillId="6" borderId="36" xfId="2" applyNumberFormat="1" applyFont="1" applyFill="1" applyBorder="1" applyAlignment="1">
      <alignment horizontal="center" vertical="center"/>
    </xf>
    <xf numFmtId="0" fontId="11" fillId="5" borderId="36" xfId="2" applyFont="1" applyFill="1" applyBorder="1" applyAlignment="1">
      <alignment horizontal="left" vertical="center" wrapText="1"/>
    </xf>
    <xf numFmtId="0" fontId="11" fillId="5" borderId="36" xfId="2" applyFont="1" applyFill="1" applyBorder="1" applyAlignment="1">
      <alignment horizontal="center" vertical="center" wrapText="1"/>
    </xf>
    <xf numFmtId="0" fontId="13" fillId="5" borderId="36" xfId="0" applyFont="1" applyFill="1" applyBorder="1" applyAlignment="1">
      <alignment vertical="center"/>
    </xf>
    <xf numFmtId="0" fontId="20" fillId="5" borderId="37" xfId="0" applyFont="1" applyFill="1" applyBorder="1" applyAlignment="1">
      <alignment vertical="center" wrapText="1"/>
    </xf>
    <xf numFmtId="49" fontId="21" fillId="5" borderId="1" xfId="0" quotePrefix="1" applyNumberFormat="1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vertical="center" wrapText="1"/>
    </xf>
    <xf numFmtId="49" fontId="21" fillId="5" borderId="11" xfId="0" applyNumberFormat="1" applyFont="1" applyFill="1" applyBorder="1" applyAlignment="1">
      <alignment horizontal="center" vertical="center"/>
    </xf>
    <xf numFmtId="0" fontId="19" fillId="5" borderId="14" xfId="0" applyFont="1" applyFill="1" applyBorder="1" applyAlignment="1">
      <alignment vertical="center" wrapText="1"/>
    </xf>
    <xf numFmtId="49" fontId="21" fillId="5" borderId="15" xfId="0" applyNumberFormat="1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left" vertical="center" wrapText="1"/>
    </xf>
    <xf numFmtId="0" fontId="12" fillId="6" borderId="21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left" vertical="center" wrapText="1"/>
    </xf>
    <xf numFmtId="49" fontId="21" fillId="5" borderId="23" xfId="0" applyNumberFormat="1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vertical="center" wrapText="1"/>
    </xf>
    <xf numFmtId="0" fontId="12" fillId="6" borderId="17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left" vertical="center" wrapText="1"/>
    </xf>
    <xf numFmtId="0" fontId="7" fillId="5" borderId="39" xfId="0" applyFont="1" applyFill="1" applyBorder="1" applyAlignment="1">
      <alignment vertical="center" wrapText="1"/>
    </xf>
    <xf numFmtId="49" fontId="21" fillId="5" borderId="19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 wrapText="1"/>
    </xf>
    <xf numFmtId="49" fontId="7" fillId="0" borderId="0" xfId="0" applyNumberFormat="1" applyFont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0" fontId="7" fillId="5" borderId="41" xfId="0" applyFont="1" applyFill="1" applyBorder="1" applyAlignment="1">
      <alignment vertical="center" wrapText="1"/>
    </xf>
    <xf numFmtId="0" fontId="7" fillId="5" borderId="42" xfId="0" applyFont="1" applyFill="1" applyBorder="1" applyAlignment="1">
      <alignment vertical="center" wrapText="1"/>
    </xf>
    <xf numFmtId="0" fontId="7" fillId="5" borderId="43" xfId="0" quotePrefix="1" applyFont="1" applyFill="1" applyBorder="1" applyAlignment="1">
      <alignment vertical="center" wrapText="1"/>
    </xf>
    <xf numFmtId="0" fontId="7" fillId="5" borderId="43" xfId="0" applyFont="1" applyFill="1" applyBorder="1" applyAlignment="1">
      <alignment vertical="center" wrapText="1"/>
    </xf>
    <xf numFmtId="0" fontId="7" fillId="5" borderId="38" xfId="0" quotePrefix="1" applyFont="1" applyFill="1" applyBorder="1" applyAlignment="1">
      <alignment vertical="center" wrapText="1"/>
    </xf>
    <xf numFmtId="0" fontId="7" fillId="5" borderId="44" xfId="0" quotePrefix="1" applyFont="1" applyFill="1" applyBorder="1" applyAlignment="1">
      <alignment vertical="center" wrapText="1"/>
    </xf>
    <xf numFmtId="0" fontId="26" fillId="8" borderId="0" xfId="0" applyFont="1" applyFill="1"/>
    <xf numFmtId="0" fontId="0" fillId="8" borderId="0" xfId="0" applyFill="1"/>
    <xf numFmtId="0" fontId="0" fillId="8" borderId="0" xfId="0" applyFill="1" applyAlignment="1">
      <alignment wrapText="1"/>
    </xf>
    <xf numFmtId="14" fontId="0" fillId="0" borderId="0" xfId="0" applyNumberFormat="1"/>
    <xf numFmtId="0" fontId="0" fillId="8" borderId="0" xfId="0" applyFill="1" applyAlignment="1">
      <alignment horizontal="left" vertical="top"/>
    </xf>
    <xf numFmtId="0" fontId="0" fillId="8" borderId="0" xfId="0" applyFill="1" applyAlignment="1">
      <alignment horizontal="left" vertical="center"/>
    </xf>
    <xf numFmtId="0" fontId="30" fillId="8" borderId="0" xfId="0" applyFont="1" applyFill="1" applyAlignment="1">
      <alignment horizontal="left" vertical="center"/>
    </xf>
    <xf numFmtId="0" fontId="30" fillId="8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Protection="1">
      <protection locked="0"/>
    </xf>
    <xf numFmtId="0" fontId="34" fillId="0" borderId="0" xfId="0" applyFont="1"/>
    <xf numFmtId="0" fontId="27" fillId="12" borderId="47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3" fillId="0" borderId="0" xfId="0" applyFont="1"/>
    <xf numFmtId="0" fontId="0" fillId="19" borderId="4" xfId="0" applyFill="1" applyBorder="1"/>
    <xf numFmtId="0" fontId="0" fillId="19" borderId="31" xfId="0" applyFill="1" applyBorder="1"/>
    <xf numFmtId="0" fontId="27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1" borderId="0" xfId="0" applyFill="1" applyAlignment="1" applyProtection="1">
      <alignment horizontal="center" vertical="center"/>
      <protection locked="0"/>
    </xf>
    <xf numFmtId="0" fontId="2" fillId="11" borderId="46" xfId="0" applyFont="1" applyFill="1" applyBorder="1" applyAlignment="1" applyProtection="1">
      <alignment horizontal="center" vertical="center"/>
      <protection locked="0"/>
    </xf>
    <xf numFmtId="49" fontId="11" fillId="5" borderId="9" xfId="2" applyNumberFormat="1" applyFont="1" applyFill="1" applyBorder="1" applyAlignment="1">
      <alignment horizontal="center" vertical="center" wrapText="1"/>
    </xf>
    <xf numFmtId="49" fontId="11" fillId="5" borderId="13" xfId="2" applyNumberFormat="1" applyFont="1" applyFill="1" applyBorder="1" applyAlignment="1">
      <alignment horizontal="center" vertical="center" wrapText="1"/>
    </xf>
    <xf numFmtId="49" fontId="11" fillId="5" borderId="17" xfId="2" applyNumberFormat="1" applyFont="1" applyFill="1" applyBorder="1" applyAlignment="1">
      <alignment horizontal="center" vertical="center" wrapText="1"/>
    </xf>
    <xf numFmtId="49" fontId="11" fillId="5" borderId="21" xfId="2" applyNumberFormat="1" applyFont="1" applyFill="1" applyBorder="1" applyAlignment="1">
      <alignment horizontal="center" vertical="center" wrapText="1"/>
    </xf>
    <xf numFmtId="49" fontId="11" fillId="5" borderId="24" xfId="2" applyNumberFormat="1" applyFont="1" applyFill="1" applyBorder="1" applyAlignment="1">
      <alignment horizontal="center" vertical="center" wrapText="1"/>
    </xf>
    <xf numFmtId="49" fontId="11" fillId="5" borderId="27" xfId="2" applyNumberFormat="1" applyFont="1" applyFill="1" applyBorder="1" applyAlignment="1">
      <alignment horizontal="center" vertical="center" wrapText="1"/>
    </xf>
    <xf numFmtId="49" fontId="11" fillId="5" borderId="32" xfId="2" applyNumberFormat="1" applyFont="1" applyFill="1" applyBorder="1" applyAlignment="1">
      <alignment horizontal="center" vertical="center" wrapText="1"/>
    </xf>
    <xf numFmtId="49" fontId="11" fillId="5" borderId="36" xfId="2" applyNumberFormat="1" applyFont="1" applyFill="1" applyBorder="1" applyAlignment="1">
      <alignment horizontal="center" vertical="center" wrapText="1"/>
    </xf>
    <xf numFmtId="49" fontId="7" fillId="5" borderId="1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35" fillId="13" borderId="13" xfId="1" applyFont="1" applyFill="1" applyBorder="1" applyAlignment="1">
      <alignment horizontal="center"/>
    </xf>
    <xf numFmtId="0" fontId="35" fillId="16" borderId="13" xfId="1" applyFont="1" applyFill="1" applyBorder="1" applyAlignment="1">
      <alignment horizontal="center"/>
    </xf>
    <xf numFmtId="0" fontId="0" fillId="21" borderId="4" xfId="0" applyFill="1" applyBorder="1" applyAlignment="1">
      <alignment horizontal="right"/>
    </xf>
    <xf numFmtId="0" fontId="0" fillId="21" borderId="51" xfId="0" applyFill="1" applyBorder="1" applyAlignment="1">
      <alignment horizontal="right"/>
    </xf>
    <xf numFmtId="0" fontId="0" fillId="18" borderId="48" xfId="0" applyFill="1" applyBorder="1" applyAlignment="1">
      <alignment horizontal="center" vertical="center"/>
    </xf>
    <xf numFmtId="2" fontId="0" fillId="22" borderId="51" xfId="0" applyNumberFormat="1" applyFill="1" applyBorder="1"/>
    <xf numFmtId="2" fontId="0" fillId="23" borderId="51" xfId="0" applyNumberFormat="1" applyFill="1" applyBorder="1"/>
    <xf numFmtId="0" fontId="0" fillId="23" borderId="48" xfId="0" applyFill="1" applyBorder="1"/>
    <xf numFmtId="2" fontId="0" fillId="23" borderId="48" xfId="0" applyNumberFormat="1" applyFill="1" applyBorder="1"/>
    <xf numFmtId="2" fontId="0" fillId="23" borderId="52" xfId="0" applyNumberFormat="1" applyFill="1" applyBorder="1"/>
    <xf numFmtId="0" fontId="0" fillId="24" borderId="4" xfId="0" applyFill="1" applyBorder="1" applyAlignment="1">
      <alignment horizontal="right"/>
    </xf>
    <xf numFmtId="0" fontId="0" fillId="24" borderId="51" xfId="0" applyFill="1" applyBorder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7" borderId="0" xfId="0" applyFill="1"/>
    <xf numFmtId="2" fontId="0" fillId="27" borderId="0" xfId="0" applyNumberFormat="1" applyFill="1"/>
    <xf numFmtId="2" fontId="0" fillId="27" borderId="51" xfId="0" applyNumberFormat="1" applyFill="1" applyBorder="1"/>
    <xf numFmtId="0" fontId="0" fillId="28" borderId="0" xfId="0" applyFill="1"/>
    <xf numFmtId="2" fontId="0" fillId="28" borderId="0" xfId="0" applyNumberFormat="1" applyFill="1"/>
    <xf numFmtId="2" fontId="0" fillId="28" borderId="51" xfId="0" applyNumberFormat="1" applyFill="1" applyBorder="1"/>
    <xf numFmtId="0" fontId="0" fillId="29" borderId="0" xfId="0" applyFill="1"/>
    <xf numFmtId="2" fontId="0" fillId="29" borderId="0" xfId="0" applyNumberFormat="1" applyFill="1"/>
    <xf numFmtId="2" fontId="0" fillId="29" borderId="51" xfId="0" applyNumberFormat="1" applyFill="1" applyBorder="1"/>
    <xf numFmtId="2" fontId="0" fillId="8" borderId="0" xfId="0" applyNumberFormat="1" applyFill="1"/>
    <xf numFmtId="2" fontId="0" fillId="8" borderId="51" xfId="0" applyNumberFormat="1" applyFill="1" applyBorder="1"/>
    <xf numFmtId="0" fontId="0" fillId="8" borderId="48" xfId="0" applyFill="1" applyBorder="1"/>
    <xf numFmtId="2" fontId="0" fillId="8" borderId="48" xfId="0" applyNumberFormat="1" applyFill="1" applyBorder="1"/>
    <xf numFmtId="2" fontId="0" fillId="8" borderId="52" xfId="0" applyNumberFormat="1" applyFill="1" applyBorder="1"/>
    <xf numFmtId="0" fontId="0" fillId="30" borderId="49" xfId="0" applyFill="1" applyBorder="1"/>
    <xf numFmtId="0" fontId="0" fillId="30" borderId="50" xfId="0" applyFill="1" applyBorder="1" applyAlignment="1">
      <alignment horizontal="center" vertical="center"/>
    </xf>
    <xf numFmtId="0" fontId="3" fillId="30" borderId="50" xfId="0" applyFont="1" applyFill="1" applyBorder="1"/>
    <xf numFmtId="0" fontId="0" fillId="30" borderId="50" xfId="3" applyFont="1" applyFill="1" applyBorder="1"/>
    <xf numFmtId="0" fontId="3" fillId="30" borderId="50" xfId="0" applyFont="1" applyFill="1" applyBorder="1" applyAlignment="1">
      <alignment horizontal="right"/>
    </xf>
    <xf numFmtId="0" fontId="3" fillId="30" borderId="53" xfId="0" applyFont="1" applyFill="1" applyBorder="1" applyAlignment="1">
      <alignment horizontal="right"/>
    </xf>
    <xf numFmtId="0" fontId="0" fillId="31" borderId="4" xfId="0" applyFill="1" applyBorder="1" applyAlignment="1">
      <alignment horizontal="right"/>
    </xf>
    <xf numFmtId="0" fontId="0" fillId="31" borderId="0" xfId="0" applyFill="1" applyAlignment="1">
      <alignment horizontal="center" vertical="center"/>
    </xf>
    <xf numFmtId="0" fontId="0" fillId="31" borderId="0" xfId="0" applyFill="1" applyAlignment="1">
      <alignment horizontal="right"/>
    </xf>
    <xf numFmtId="0" fontId="0" fillId="31" borderId="0" xfId="0" applyFill="1"/>
    <xf numFmtId="0" fontId="0" fillId="31" borderId="51" xfId="0" applyFill="1" applyBorder="1"/>
    <xf numFmtId="0" fontId="0" fillId="31" borderId="51" xfId="0" applyFill="1" applyBorder="1" applyAlignment="1">
      <alignment horizontal="right"/>
    </xf>
    <xf numFmtId="0" fontId="0" fillId="30" borderId="0" xfId="0" applyFill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21" borderId="51" xfId="0" applyFill="1" applyBorder="1"/>
    <xf numFmtId="2" fontId="0" fillId="0" borderId="0" xfId="0" applyNumberFormat="1"/>
    <xf numFmtId="2" fontId="0" fillId="23" borderId="0" xfId="0" applyNumberFormat="1" applyFill="1"/>
    <xf numFmtId="0" fontId="0" fillId="21" borderId="0" xfId="0" applyFill="1" applyAlignment="1">
      <alignment horizontal="center" vertical="center"/>
    </xf>
    <xf numFmtId="0" fontId="0" fillId="21" borderId="0" xfId="0" applyFill="1"/>
    <xf numFmtId="0" fontId="0" fillId="18" borderId="0" xfId="0" applyFill="1" applyAlignment="1">
      <alignment horizontal="center" vertical="center"/>
    </xf>
    <xf numFmtId="2" fontId="0" fillId="22" borderId="0" xfId="0" applyNumberFormat="1" applyFill="1"/>
    <xf numFmtId="0" fontId="0" fillId="22" borderId="0" xfId="0" applyFill="1"/>
    <xf numFmtId="0" fontId="0" fillId="21" borderId="0" xfId="0" applyFill="1" applyAlignment="1">
      <alignment horizontal="right"/>
    </xf>
    <xf numFmtId="0" fontId="0" fillId="24" borderId="0" xfId="0" applyFill="1" applyAlignment="1">
      <alignment horizontal="center" vertical="center"/>
    </xf>
    <xf numFmtId="0" fontId="0" fillId="24" borderId="0" xfId="0" applyFill="1"/>
    <xf numFmtId="0" fontId="0" fillId="24" borderId="0" xfId="0" applyFill="1" applyAlignment="1">
      <alignment horizontal="right"/>
    </xf>
    <xf numFmtId="0" fontId="0" fillId="23" borderId="0" xfId="0" applyFill="1"/>
    <xf numFmtId="0" fontId="32" fillId="10" borderId="45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36" fillId="10" borderId="45" xfId="0" applyFont="1" applyFill="1" applyBorder="1" applyAlignment="1">
      <alignment horizontal="center" vertical="top" wrapText="1"/>
    </xf>
    <xf numFmtId="0" fontId="37" fillId="10" borderId="4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8" fillId="0" borderId="0" xfId="0" applyFont="1" applyAlignment="1">
      <alignment horizontal="center" vertical="center"/>
    </xf>
    <xf numFmtId="49" fontId="32" fillId="10" borderId="45" xfId="0" applyNumberFormat="1" applyFont="1" applyFill="1" applyBorder="1" applyAlignment="1">
      <alignment horizontal="center" vertical="top" wrapText="1"/>
    </xf>
    <xf numFmtId="49" fontId="0" fillId="0" borderId="0" xfId="0" applyNumberFormat="1"/>
    <xf numFmtId="0" fontId="29" fillId="9" borderId="0" xfId="0" applyFont="1" applyFill="1" applyAlignment="1" applyProtection="1">
      <alignment horizontal="center" vertical="center"/>
      <protection locked="0"/>
    </xf>
    <xf numFmtId="0" fontId="0" fillId="32" borderId="0" xfId="0" applyFill="1" applyAlignment="1">
      <alignment horizontal="center" vertical="center"/>
    </xf>
    <xf numFmtId="0" fontId="0" fillId="11" borderId="0" xfId="0" applyFill="1" applyAlignment="1" applyProtection="1">
      <alignment horizontal="center" vertical="top" wrapText="1"/>
      <protection locked="0"/>
    </xf>
    <xf numFmtId="0" fontId="39" fillId="11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wrapText="1"/>
      <protection locked="0"/>
    </xf>
    <xf numFmtId="0" fontId="0" fillId="34" borderId="13" xfId="0" applyFill="1" applyBorder="1" applyAlignment="1">
      <alignment vertical="center"/>
    </xf>
    <xf numFmtId="0" fontId="4" fillId="0" borderId="0" xfId="0" applyFont="1"/>
    <xf numFmtId="0" fontId="4" fillId="33" borderId="13" xfId="0" applyFont="1" applyFill="1" applyBorder="1" applyAlignment="1">
      <alignment horizontal="center" vertical="center"/>
    </xf>
    <xf numFmtId="0" fontId="2" fillId="33" borderId="13" xfId="0" applyFont="1" applyFill="1" applyBorder="1" applyAlignment="1">
      <alignment horizontal="center" vertical="center"/>
    </xf>
    <xf numFmtId="164" fontId="0" fillId="34" borderId="13" xfId="4" applyNumberFormat="1" applyFont="1" applyFill="1" applyBorder="1" applyAlignment="1">
      <alignment vertical="center"/>
    </xf>
    <xf numFmtId="0" fontId="40" fillId="0" borderId="0" xfId="0" applyFont="1" applyAlignment="1" applyProtection="1">
      <alignment horizontal="center" vertical="center"/>
      <protection locked="0"/>
    </xf>
    <xf numFmtId="0" fontId="10" fillId="4" borderId="8" xfId="2" applyFont="1" applyFill="1" applyBorder="1" applyAlignment="1">
      <alignment horizontal="center" vertical="center" textRotation="90" wrapText="1"/>
    </xf>
    <xf numFmtId="0" fontId="10" fillId="4" borderId="12" xfId="2" applyFont="1" applyFill="1" applyBorder="1" applyAlignment="1">
      <alignment horizontal="center" vertical="center" textRotation="90" wrapText="1"/>
    </xf>
    <xf numFmtId="0" fontId="10" fillId="4" borderId="20" xfId="2" applyFont="1" applyFill="1" applyBorder="1" applyAlignment="1">
      <alignment horizontal="center" vertical="center" textRotation="90" wrapText="1"/>
    </xf>
    <xf numFmtId="14" fontId="5" fillId="3" borderId="1" xfId="0" applyNumberFormat="1" applyFont="1" applyFill="1" applyBorder="1" applyAlignment="1">
      <alignment horizontal="center" vertical="center"/>
    </xf>
    <xf numFmtId="14" fontId="5" fillId="3" borderId="2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center" vertical="top"/>
    </xf>
    <xf numFmtId="0" fontId="10" fillId="4" borderId="16" xfId="2" applyFont="1" applyFill="1" applyBorder="1" applyAlignment="1">
      <alignment horizontal="center" vertical="center" textRotation="90" wrapText="1"/>
    </xf>
    <xf numFmtId="0" fontId="10" fillId="4" borderId="5" xfId="2" applyFont="1" applyFill="1" applyBorder="1" applyAlignment="1">
      <alignment horizontal="center" vertical="center" textRotation="90" wrapText="1"/>
    </xf>
    <xf numFmtId="0" fontId="10" fillId="4" borderId="26" xfId="2" applyFont="1" applyFill="1" applyBorder="1" applyAlignment="1">
      <alignment horizontal="center" vertical="center" textRotation="90" wrapText="1"/>
    </xf>
    <xf numFmtId="0" fontId="10" fillId="4" borderId="28" xfId="2" applyFont="1" applyFill="1" applyBorder="1" applyAlignment="1">
      <alignment horizontal="center" vertical="center" textRotation="90" wrapText="1"/>
    </xf>
    <xf numFmtId="0" fontId="10" fillId="4" borderId="29" xfId="2" applyFont="1" applyFill="1" applyBorder="1" applyAlignment="1">
      <alignment horizontal="center" vertical="center" textRotation="90" wrapText="1"/>
    </xf>
    <xf numFmtId="0" fontId="7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center" vertical="top"/>
    </xf>
    <xf numFmtId="0" fontId="0" fillId="8" borderId="0" xfId="0" applyFill="1" applyAlignment="1">
      <alignment horizontal="center" wrapText="1"/>
    </xf>
    <xf numFmtId="14" fontId="28" fillId="9" borderId="0" xfId="0" applyNumberFormat="1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31" fillId="8" borderId="0" xfId="0" applyFont="1" applyFill="1" applyAlignment="1">
      <alignment horizontal="left" vertical="center" wrapText="1"/>
    </xf>
    <xf numFmtId="0" fontId="0" fillId="8" borderId="0" xfId="0" applyFill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4" fillId="13" borderId="13" xfId="0" applyFont="1" applyFill="1" applyBorder="1" applyAlignment="1">
      <alignment horizontal="center"/>
    </xf>
    <xf numFmtId="0" fontId="4" fillId="13" borderId="13" xfId="1" applyFill="1" applyBorder="1" applyAlignment="1">
      <alignment horizontal="center"/>
    </xf>
    <xf numFmtId="0" fontId="3" fillId="14" borderId="13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left" vertical="center" wrapText="1"/>
    </xf>
    <xf numFmtId="0" fontId="3" fillId="17" borderId="13" xfId="0" applyFont="1" applyFill="1" applyBorder="1" applyAlignment="1">
      <alignment horizontal="center" vertical="center"/>
    </xf>
    <xf numFmtId="0" fontId="0" fillId="7" borderId="13" xfId="0" applyFill="1" applyBorder="1" applyAlignment="1">
      <alignment horizontal="left" vertical="center" wrapText="1"/>
    </xf>
    <xf numFmtId="0" fontId="4" fillId="16" borderId="13" xfId="0" applyFont="1" applyFill="1" applyBorder="1" applyAlignment="1">
      <alignment horizontal="center"/>
    </xf>
    <xf numFmtId="0" fontId="4" fillId="16" borderId="13" xfId="1" applyFill="1" applyBorder="1" applyAlignment="1">
      <alignment horizontal="center"/>
    </xf>
    <xf numFmtId="0" fontId="4" fillId="33" borderId="13" xfId="0" applyFont="1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164" fontId="0" fillId="34" borderId="21" xfId="4" applyNumberFormat="1" applyFont="1" applyFill="1" applyBorder="1" applyAlignment="1">
      <alignment horizontal="center" vertical="center"/>
    </xf>
    <xf numFmtId="164" fontId="0" fillId="34" borderId="32" xfId="4" applyNumberFormat="1" applyFont="1" applyFill="1" applyBorder="1" applyAlignment="1">
      <alignment horizontal="center" vertical="center"/>
    </xf>
    <xf numFmtId="0" fontId="0" fillId="34" borderId="21" xfId="0" applyFill="1" applyBorder="1" applyAlignment="1">
      <alignment horizontal="center" vertical="center"/>
    </xf>
    <xf numFmtId="0" fontId="0" fillId="34" borderId="32" xfId="0" applyFill="1" applyBorder="1" applyAlignment="1">
      <alignment horizontal="center" vertical="center"/>
    </xf>
  </cellXfs>
  <cellStyles count="5">
    <cellStyle name="Accent1" xfId="1" builtinId="29"/>
    <cellStyle name="Normal" xfId="0" builtinId="0"/>
    <cellStyle name="Normal 2" xfId="3" xr:uid="{5E47FAF5-8CF9-4648-98E8-560817EB0F31}"/>
    <cellStyle name="Percent" xfId="4" builtinId="5"/>
    <cellStyle name="一般_傳統 .CHOKE IPQC巡檢日報表" xfId="2" xr:uid="{96520039-BF38-4898-94FE-0B5FAB89864B}"/>
  </cellStyles>
  <dxfs count="85"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numFmt numFmtId="2" formatCode="0.00"/>
    </dxf>
    <dxf>
      <border outline="0">
        <top style="thin">
          <color theme="4" tint="0.39997558519241921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ctual Regular"/>
        <family val="2"/>
        <scheme val="none"/>
      </font>
      <fill>
        <patternFill patternType="solid">
          <fgColor theme="4"/>
          <bgColor theme="4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  <color auto="1"/>
        <name val="Actual Regular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numFmt numFmtId="0" formatCode="General"/>
    </dxf>
    <dxf>
      <font>
        <strike val="0"/>
        <outline val="0"/>
        <shadow val="0"/>
        <u val="none"/>
        <vertAlign val="baseline"/>
        <sz val="11"/>
      </font>
      <numFmt numFmtId="0" formatCode="General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numFmt numFmtId="2" formatCode="0.00"/>
    </dxf>
    <dxf>
      <font>
        <strike val="0"/>
        <outline val="0"/>
        <shadow val="0"/>
        <u val="none"/>
        <vertAlign val="baseline"/>
        <sz val="11"/>
      </font>
      <numFmt numFmtId="19" formatCode="m/d/yyyy"/>
    </dxf>
    <dxf>
      <font>
        <strike val="0"/>
        <outline val="0"/>
        <shadow val="0"/>
        <u val="none"/>
        <vertAlign val="baseline"/>
        <sz val="11"/>
        <family val="2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ctual Regular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rgb="FFCCFFFF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760000"/>
      </font>
      <fill>
        <patternFill>
          <bgColor rgb="FFFFD5D5"/>
        </patternFill>
      </fill>
    </dxf>
    <dxf>
      <font>
        <color rgb="FFC00000"/>
      </font>
      <fill>
        <patternFill>
          <bgColor rgb="FFFCD6D6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A348C0"/>
        </patternFill>
      </fill>
      <alignment horizontal="center" vertical="top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>
          <fgColor indexed="64"/>
          <bgColor rgb="FFA348C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EEF8EE"/>
        <name val="Calibri"/>
        <family val="2"/>
        <scheme val="minor"/>
      </font>
      <fill>
        <patternFill patternType="solid">
          <fgColor indexed="64"/>
          <bgColor rgb="FF0028A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760000"/>
      </font>
      <fill>
        <patternFill>
          <bgColor rgb="FFFFCCCC"/>
        </patternFill>
      </fill>
    </dxf>
    <dxf>
      <font>
        <color theme="5" tint="-0.499984740745262"/>
      </font>
      <fill>
        <patternFill>
          <bgColor rgb="FFFBDDCD"/>
        </patternFill>
      </fill>
    </dxf>
    <dxf>
      <fill>
        <patternFill>
          <bgColor rgb="FFFFFFCC"/>
        </patternFill>
      </fill>
    </dxf>
    <dxf>
      <fill>
        <patternFill>
          <bgColor rgb="FFCCECFF"/>
        </patternFill>
      </fill>
    </dxf>
    <dxf>
      <fill>
        <patternFill>
          <bgColor rgb="FFCCFFCC"/>
        </patternFill>
      </fill>
    </dxf>
    <dxf>
      <fill>
        <patternFill patternType="solid">
          <fgColor theme="4" tint="0.59999389629810485"/>
          <bgColor rgb="FFD495DF"/>
        </patternFill>
      </fill>
    </dxf>
    <dxf>
      <fill>
        <patternFill patternType="solid">
          <fgColor theme="4" tint="0.59999389629810485"/>
          <bgColor rgb="FFDAB3E9"/>
        </patternFill>
      </fill>
    </dxf>
    <dxf>
      <font>
        <b/>
        <color theme="0"/>
      </font>
      <fill>
        <patternFill patternType="solid">
          <fgColor theme="4"/>
          <bgColor rgb="FFA83FC9"/>
        </patternFill>
      </fill>
    </dxf>
    <dxf>
      <font>
        <b/>
        <color theme="0"/>
      </font>
      <fill>
        <patternFill patternType="solid">
          <fgColor theme="4"/>
          <bgColor rgb="FF954ABE"/>
        </patternFill>
      </fill>
    </dxf>
    <dxf>
      <font>
        <b/>
        <color theme="0"/>
      </font>
      <fill>
        <patternFill patternType="solid">
          <fgColor theme="4"/>
          <bgColor rgb="FFA348C0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4"/>
          <bgColor rgb="FF9742C6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5117038483843"/>
          <bgColor rgb="FFF0D4F8"/>
        </patternFill>
      </fill>
      <border>
        <vertical style="thin">
          <color theme="0"/>
        </vertical>
        <horizontal style="thin">
          <color theme="0"/>
        </horizontal>
      </border>
    </dxf>
    <dxf>
      <fill>
        <patternFill patternType="solid">
          <fgColor theme="9" tint="0.79995117038483843"/>
          <bgColor rgb="FFEEF8EE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9" tint="-0.249977111117893"/>
      </font>
    </dxf>
    <dxf>
      <font>
        <b/>
        <color theme="9" tint="-0.249977111117893"/>
      </font>
    </dxf>
    <dxf>
      <font>
        <b/>
        <color theme="9" tint="-0.249977111117893"/>
      </font>
      <border>
        <top style="thin">
          <color theme="9"/>
        </top>
      </border>
    </dxf>
    <dxf>
      <font>
        <b/>
        <color theme="9" tint="-0.249977111117893"/>
      </font>
      <border>
        <bottom style="thin">
          <color theme="9"/>
        </bottom>
      </border>
    </dxf>
    <dxf>
      <font>
        <color theme="9" tint="-0.499984740745262"/>
      </font>
      <border>
        <top style="thin">
          <color theme="9"/>
        </top>
        <bottom style="thin">
          <color theme="9"/>
        </bottom>
      </border>
    </dxf>
  </dxfs>
  <tableStyles count="2" defaultTableStyle="TableStyleMedium2" defaultPivotStyle="PivotStyleLight16">
    <tableStyle name="TableStyleLight7 2" pivot="0" count="7" xr9:uid="{6F813EA6-1E05-4BE3-9739-CFAA4126E560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RowStripe" dxfId="79"/>
      <tableStyleElement type="firstColumnStripe" dxfId="78"/>
    </tableStyle>
    <tableStyle name="TableStyleMedium9 2" pivot="0" count="7" xr9:uid="{F7411CB7-7505-46F0-A152-43B992BF2CB4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RowStripe" dxfId="72"/>
      <tableStyleElement type="firstColumnStripe" dxfId="71"/>
    </tableStyle>
  </tableStyles>
  <colors>
    <mruColors>
      <color rgb="FFFF99FF"/>
      <color rgb="FF66FFFF"/>
      <color rgb="FF99FFCC"/>
      <color rgb="FFCCFFCC"/>
      <color rgb="FFFFCCFF"/>
      <color rgb="FFCCFFFF"/>
      <color rgb="FFFFFFCC"/>
      <color rgb="FFFFCC99"/>
      <color rgb="FFFFCCCC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Charts!$A$43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Charts!$C$43:$Q$43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7-4A9E-8C25-2D5EEB400DEE}"/>
            </c:ext>
          </c:extLst>
        </c:ser>
        <c:ser>
          <c:idx val="1"/>
          <c:order val="1"/>
          <c:tx>
            <c:strRef>
              <c:f>Charts!$A$44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Charts!$C$44:$Q$44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47-4A9E-8C25-2D5EEB400DEE}"/>
            </c:ext>
          </c:extLst>
        </c:ser>
        <c:ser>
          <c:idx val="2"/>
          <c:order val="2"/>
          <c:tx>
            <c:strRef>
              <c:f>Charts!$A$45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Charts!$C$45:$Q$45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C-469D-9DC6-A91BA69E3EE4}"/>
            </c:ext>
          </c:extLst>
        </c:ser>
        <c:ser>
          <c:idx val="3"/>
          <c:order val="3"/>
          <c:tx>
            <c:strRef>
              <c:f>Charts!$A$46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Charts!$C$46:$Q$46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47-4A9E-8C25-2D5EEB400DEE}"/>
            </c:ext>
          </c:extLst>
        </c:ser>
        <c:ser>
          <c:idx val="4"/>
          <c:order val="4"/>
          <c:tx>
            <c:strRef>
              <c:f>Charts!$A$47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660066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Charts!$C$47:$Q$47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47-4A9E-8C25-2D5EEB400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98000"/>
              </a:schemeClr>
            </a:solidFill>
            <a:round/>
          </a:ln>
          <a:effectLst/>
        </c:spPr>
        <c:txPr>
          <a:bodyPr rot="-21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E01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367530045802944E-2"/>
          <c:y val="0.12039995786528158"/>
          <c:w val="0.87868186092109923"/>
          <c:h val="0.61125647900035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Charts!$A$25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Charts!$C$25:$Q$25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0-4300-9BC2-6D6A49C85AA5}"/>
            </c:ext>
          </c:extLst>
        </c:ser>
        <c:ser>
          <c:idx val="1"/>
          <c:order val="1"/>
          <c:tx>
            <c:strRef>
              <c:f>Charts!$A$26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Charts!$C$26:$Q$26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90-4300-9BC2-6D6A49C85AA5}"/>
            </c:ext>
          </c:extLst>
        </c:ser>
        <c:ser>
          <c:idx val="2"/>
          <c:order val="2"/>
          <c:tx>
            <c:strRef>
              <c:f>Charts!$A$27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Charts!$C$27:$Q$27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90-4300-9BC2-6D6A49C85AA5}"/>
            </c:ext>
          </c:extLst>
        </c:ser>
        <c:ser>
          <c:idx val="3"/>
          <c:order val="3"/>
          <c:tx>
            <c:strRef>
              <c:f>Charts!$A$28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Charts!$C$28:$Q$28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90-4300-9BC2-6D6A49C85AA5}"/>
            </c:ext>
          </c:extLst>
        </c:ser>
        <c:ser>
          <c:idx val="4"/>
          <c:order val="4"/>
          <c:tx>
            <c:strRef>
              <c:f>Charts!$A$29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660066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Charts!$C$29:$Q$29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90-4300-9BC2-6D6A49C8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63632395308907"/>
          <c:y val="0.91906415116001106"/>
          <c:w val="0.56272708511154657"/>
          <c:h val="8.09358488399889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E02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367530045802944E-2"/>
          <c:y val="0.12039995786528158"/>
          <c:w val="0.87868186092109923"/>
          <c:h val="0.61125647900035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Charts!$A$31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Charts!$C$31:$Q$31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D-4278-BCD6-00D685314857}"/>
            </c:ext>
          </c:extLst>
        </c:ser>
        <c:ser>
          <c:idx val="1"/>
          <c:order val="1"/>
          <c:tx>
            <c:strRef>
              <c:f>Charts!$A$32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Charts!$C$32:$Q$32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9D-4278-BCD6-00D685314857}"/>
            </c:ext>
          </c:extLst>
        </c:ser>
        <c:ser>
          <c:idx val="2"/>
          <c:order val="2"/>
          <c:tx>
            <c:strRef>
              <c:f>Charts!$A$33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Charts!$C$33:$Q$33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9D-4278-BCD6-00D685314857}"/>
            </c:ext>
          </c:extLst>
        </c:ser>
        <c:ser>
          <c:idx val="3"/>
          <c:order val="3"/>
          <c:tx>
            <c:strRef>
              <c:f>Charts!$A$34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Charts!$C$34:$Q$34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9D-4278-BCD6-00D685314857}"/>
            </c:ext>
          </c:extLst>
        </c:ser>
        <c:ser>
          <c:idx val="4"/>
          <c:order val="4"/>
          <c:tx>
            <c:strRef>
              <c:f>Charts!$A$35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660066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Charts!$C$35:$Q$35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9D-4278-BCD6-00D685314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63632395308907"/>
          <c:y val="0.91906418172548576"/>
          <c:w val="0.56272708511154657"/>
          <c:h val="8.0935818274514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E03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367530045802944E-2"/>
          <c:y val="0.12039995786528158"/>
          <c:w val="0.87868186092109923"/>
          <c:h val="0.61125647900035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Charts!$A$37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Charts!$C$37:$Q$37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3F-41A3-8E24-18C652095291}"/>
            </c:ext>
          </c:extLst>
        </c:ser>
        <c:ser>
          <c:idx val="1"/>
          <c:order val="1"/>
          <c:tx>
            <c:strRef>
              <c:f>Charts!$A$38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Charts!$C$38:$Q$38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3F-41A3-8E24-18C652095291}"/>
            </c:ext>
          </c:extLst>
        </c:ser>
        <c:ser>
          <c:idx val="2"/>
          <c:order val="2"/>
          <c:tx>
            <c:strRef>
              <c:f>Charts!$A$39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Charts!$C$39:$Q$39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3F-41A3-8E24-18C652095291}"/>
            </c:ext>
          </c:extLst>
        </c:ser>
        <c:ser>
          <c:idx val="3"/>
          <c:order val="3"/>
          <c:tx>
            <c:strRef>
              <c:f>Charts!$A$40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Charts!$C$40:$Q$40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3F-41A3-8E24-18C652095291}"/>
            </c:ext>
          </c:extLst>
        </c:ser>
        <c:ser>
          <c:idx val="4"/>
          <c:order val="4"/>
          <c:tx>
            <c:strRef>
              <c:f>Charts!$A$41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660066"/>
            </a:solidFill>
            <a:ln>
              <a:noFill/>
            </a:ln>
            <a:effectLst/>
          </c:spPr>
          <c:invertIfNegative val="0"/>
          <c:cat>
            <c:strRef>
              <c:f>Charts!$C$23:$Q$23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Charts!$C$41:$Q$41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3F-41A3-8E24-18C652095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51006721089605"/>
          <c:y val="0.91906418172548576"/>
          <c:w val="0.56297959847612922"/>
          <c:h val="8.0935818274514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 shift 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367530045802944E-2"/>
          <c:y val="0.12039995786528158"/>
          <c:w val="0.87868186092109923"/>
          <c:h val="0.61125647900035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Charts!$A$51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Charts!$C$49:$Q$49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Charts!$C$51:$Q$51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06-4FE1-8130-F97640A33A44}"/>
            </c:ext>
          </c:extLst>
        </c:ser>
        <c:ser>
          <c:idx val="1"/>
          <c:order val="1"/>
          <c:tx>
            <c:strRef>
              <c:f>Charts!$A$52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Charts!$C$49:$Q$49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Charts!$C$52:$Q$52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06-4FE1-8130-F97640A33A44}"/>
            </c:ext>
          </c:extLst>
        </c:ser>
        <c:ser>
          <c:idx val="2"/>
          <c:order val="2"/>
          <c:tx>
            <c:strRef>
              <c:f>Charts!$A$53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Charts!$C$49:$Q$49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Charts!$C$53:$Q$53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06-4FE1-8130-F97640A33A44}"/>
            </c:ext>
          </c:extLst>
        </c:ser>
        <c:ser>
          <c:idx val="3"/>
          <c:order val="3"/>
          <c:tx>
            <c:strRef>
              <c:f>Charts!$A$54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Charts!$C$49:$Q$49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Charts!$C$54:$Q$54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06-4FE1-8130-F97640A33A44}"/>
            </c:ext>
          </c:extLst>
        </c:ser>
        <c:ser>
          <c:idx val="4"/>
          <c:order val="4"/>
          <c:tx>
            <c:strRef>
              <c:f>Charts!$A$55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Charts!$C$49:$Q$49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Charts!$C$55:$Q$55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06-4FE1-8130-F97640A33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63632395308907"/>
          <c:y val="0.91906415116001106"/>
          <c:w val="0.55812197204163039"/>
          <c:h val="8.09357642555216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 shift 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367530045802944E-2"/>
          <c:y val="0.12039995786528158"/>
          <c:w val="0.87868186092109923"/>
          <c:h val="0.61125647900035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Charts!$A$57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Charts!$C$57:$Q$57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42D9-8A7F-33C2F8EB4A6C}"/>
            </c:ext>
          </c:extLst>
        </c:ser>
        <c:ser>
          <c:idx val="1"/>
          <c:order val="1"/>
          <c:tx>
            <c:strRef>
              <c:f>Charts!$A$58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Charts!$C$58:$Q$58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95-42D9-8A7F-33C2F8EB4A6C}"/>
            </c:ext>
          </c:extLst>
        </c:ser>
        <c:ser>
          <c:idx val="2"/>
          <c:order val="2"/>
          <c:tx>
            <c:strRef>
              <c:f>Charts!$A$59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Charts!$C$59:$Q$59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95-42D9-8A7F-33C2F8EB4A6C}"/>
            </c:ext>
          </c:extLst>
        </c:ser>
        <c:ser>
          <c:idx val="3"/>
          <c:order val="3"/>
          <c:tx>
            <c:strRef>
              <c:f>Charts!$A$60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Charts!$C$60:$Q$60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95-42D9-8A7F-33C2F8EB4A6C}"/>
            </c:ext>
          </c:extLst>
        </c:ser>
        <c:ser>
          <c:idx val="4"/>
          <c:order val="4"/>
          <c:tx>
            <c:strRef>
              <c:f>Charts!$A$61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Charts!$C$61:$Q$61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95-42D9-8A7F-33C2F8EB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63632395308907"/>
          <c:y val="0.91906415116001106"/>
          <c:w val="0.55812197204163039"/>
          <c:h val="8.09357642555216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 shift 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367530045802944E-2"/>
          <c:y val="0.12039995786528158"/>
          <c:w val="0.87868186092109923"/>
          <c:h val="0.61125647900035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Charts!$A$63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(Charts!$C$49,Charts!$D$49,Charts!$E$49,Charts!$F$49:$Q$49)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Charts!$C$63:$Q$63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F9-A606-E13CA5837501}"/>
            </c:ext>
          </c:extLst>
        </c:ser>
        <c:ser>
          <c:idx val="1"/>
          <c:order val="1"/>
          <c:tx>
            <c:strRef>
              <c:f>Charts!$A$64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(Charts!$C$49,Charts!$D$49,Charts!$E$49,Charts!$F$49:$Q$49)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Charts!$C$64:$Q$64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F9-A606-E13CA5837501}"/>
            </c:ext>
          </c:extLst>
        </c:ser>
        <c:ser>
          <c:idx val="2"/>
          <c:order val="2"/>
          <c:tx>
            <c:strRef>
              <c:f>Charts!$A$65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(Charts!$C$49,Charts!$D$49,Charts!$E$49,Charts!$F$49:$Q$49)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Charts!$C$65:$Q$65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F9-A606-E13CA5837501}"/>
            </c:ext>
          </c:extLst>
        </c:ser>
        <c:ser>
          <c:idx val="3"/>
          <c:order val="3"/>
          <c:tx>
            <c:strRef>
              <c:f>Charts!$A$66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(Charts!$C$49,Charts!$D$49,Charts!$E$49,Charts!$F$49:$Q$49)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Charts!$C$66:$Q$66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F9-A606-E13CA5837501}"/>
            </c:ext>
          </c:extLst>
        </c:ser>
        <c:ser>
          <c:idx val="4"/>
          <c:order val="4"/>
          <c:tx>
            <c:strRef>
              <c:f>Charts!$A$67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(Charts!$C$49,Charts!$D$49,Charts!$E$49,Charts!$F$49:$Q$49)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Charts!$C$67:$Q$67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8E-48F9-A606-E13CA5837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63632395308907"/>
          <c:y val="0.91906415116001106"/>
          <c:w val="0.55812197204163039"/>
          <c:h val="8.09357642555216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 shift  IPQC findings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367530045802944E-2"/>
          <c:y val="0.12039995786528158"/>
          <c:w val="0.87868186092109923"/>
          <c:h val="0.61125647900035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Charts!$C$69:$Q$69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F0F-AF21-EE5314149C17}"/>
            </c:ext>
          </c:extLst>
        </c:ser>
        <c:ser>
          <c:idx val="1"/>
          <c:order val="1"/>
          <c:tx>
            <c:strRef>
              <c:f>Charts!$A$70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Charts!$C$70:$Q$70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F0F-AF21-EE5314149C17}"/>
            </c:ext>
          </c:extLst>
        </c:ser>
        <c:ser>
          <c:idx val="2"/>
          <c:order val="2"/>
          <c:tx>
            <c:strRef>
              <c:f>Charts!$A$71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Charts!$C$71:$Q$71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E1-4F0F-AF21-EE5314149C17}"/>
            </c:ext>
          </c:extLst>
        </c:ser>
        <c:ser>
          <c:idx val="3"/>
          <c:order val="3"/>
          <c:tx>
            <c:strRef>
              <c:f>Charts!$A$72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Charts!$C$72:$Q$72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E1-4F0F-AF21-EE5314149C17}"/>
            </c:ext>
          </c:extLst>
        </c:ser>
        <c:ser>
          <c:idx val="4"/>
          <c:order val="4"/>
          <c:tx>
            <c:strRef>
              <c:f>Charts!$A$73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(Charts!$C$49,Charts!$D$49:$Q$49)</c:f>
              <c:strCache>
                <c:ptCount val="15"/>
                <c:pt idx="0">
                  <c:v>Rolling Avg</c:v>
                </c:pt>
                <c:pt idx="1">
                  <c:v> </c:v>
                </c:pt>
                <c:pt idx="2">
                  <c:v>May Avg</c:v>
                </c:pt>
                <c:pt idx="3">
                  <c:v>Jun Avg</c:v>
                </c:pt>
                <c:pt idx="4">
                  <c:v>Jul Avg</c:v>
                </c:pt>
                <c:pt idx="5">
                  <c:v>Aug Avg</c:v>
                </c:pt>
                <c:pt idx="6">
                  <c:v>Sep Avg</c:v>
                </c:pt>
                <c:pt idx="7">
                  <c:v>Aug Avg</c:v>
                </c:pt>
                <c:pt idx="8">
                  <c:v>Sep Avg</c:v>
                </c:pt>
                <c:pt idx="9">
                  <c:v> </c:v>
                </c:pt>
                <c:pt idx="10">
                  <c:v>CW 41</c:v>
                </c:pt>
                <c:pt idx="11">
                  <c:v>CW 42</c:v>
                </c:pt>
                <c:pt idx="12">
                  <c:v>CW 43</c:v>
                </c:pt>
                <c:pt idx="13">
                  <c:v>CW 44</c:v>
                </c:pt>
                <c:pt idx="14">
                  <c:v>CW 45</c:v>
                </c:pt>
              </c:strCache>
            </c:strRef>
          </c:cat>
          <c:val>
            <c:numRef>
              <c:f>Charts!$C$73:$Q$73</c:f>
              <c:numCache>
                <c:formatCode>General</c:formatCode>
                <c:ptCount val="15"/>
                <c:pt idx="0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E1-4F0F-AF21-EE5314149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71040"/>
        <c:axId val="414758976"/>
      </c:barChart>
      <c:catAx>
        <c:axId val="4147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58976"/>
        <c:crosses val="autoZero"/>
        <c:auto val="1"/>
        <c:lblAlgn val="ctr"/>
        <c:lblOffset val="100"/>
        <c:noMultiLvlLbl val="0"/>
      </c:catAx>
      <c:valAx>
        <c:axId val="41475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863632395308907"/>
          <c:y val="0.91906415116001106"/>
          <c:w val="0.55812197204163039"/>
          <c:h val="8.09357642555216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Closed in 24 hours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DD-40A4-916E-58D24A4310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DD-40A4-916E-58D24A4310DC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DD-40A4-916E-58D24A4310DC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Charts!$AB$4:$AE$4</c15:sqref>
                  </c15:fullRef>
                </c:ext>
              </c:extLst>
              <c:f>(Charts!$AB$4:$AC$4,Charts!$AE$4)</c:f>
              <c:strCache>
                <c:ptCount val="3"/>
                <c:pt idx="0">
                  <c:v>Closed in 24Hr</c:v>
                </c:pt>
                <c:pt idx="1">
                  <c:v>Closed in &gt;24hrs</c:v>
                </c:pt>
                <c:pt idx="2">
                  <c:v>Still Open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Charts!$AB$5:$AE$5</c15:sqref>
                  </c15:fullRef>
                </c:ext>
              </c:extLst>
              <c:f>(Charts!$AB$5:$AC$5,Charts!$AE$5)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0F92-451C-B46A-6CB3E904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C7DD-40A4-916E-58D24A4310DC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C7DD-40A4-916E-58D24A4310DC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C7DD-40A4-916E-58D24A4310DC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Charts!$AB$4:$AE$4</c15:sqref>
                        </c15:fullRef>
                        <c15:formulaRef>
                          <c15:sqref>(Charts!$AB$4:$AC$4,Charts!$AE$4)</c15:sqref>
                        </c15:formulaRef>
                      </c:ext>
                    </c:extLst>
                    <c:strCache>
                      <c:ptCount val="3"/>
                      <c:pt idx="0">
                        <c:v>Closed in 24Hr</c:v>
                      </c:pt>
                      <c:pt idx="1">
                        <c:v>Closed in &gt;24hrs</c:v>
                      </c:pt>
                      <c:pt idx="2">
                        <c:v>Still Open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Charts!$AB$6:$AE$6</c15:sqref>
                        </c15:fullRef>
                        <c15:formulaRef>
                          <c15:sqref>(Charts!$AB$6:$AC$6,Charts!$AE$6)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1-0F92-451C-B46A-6CB3E9049D9B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Items closed in 24hr by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Charts!$AB$12</c:f>
              <c:strCache>
                <c:ptCount val="1"/>
                <c:pt idx="0">
                  <c:v>Closed in 24Hr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Charts!$AC$10:$AG$11</c:f>
              <c:strCache>
                <c:ptCount val="5"/>
                <c:pt idx="0">
                  <c:v>CW 41</c:v>
                </c:pt>
                <c:pt idx="1">
                  <c:v>CW 42</c:v>
                </c:pt>
                <c:pt idx="2">
                  <c:v>CW 43</c:v>
                </c:pt>
                <c:pt idx="3">
                  <c:v>CW 44</c:v>
                </c:pt>
                <c:pt idx="4">
                  <c:v>CW 45</c:v>
                </c:pt>
              </c:strCache>
            </c:strRef>
          </c:cat>
          <c:val>
            <c:numRef>
              <c:f>Charts!$AC$12:$AG$12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EA-44EF-80D0-D7FF13822EC4}"/>
            </c:ext>
          </c:extLst>
        </c:ser>
        <c:ser>
          <c:idx val="1"/>
          <c:order val="1"/>
          <c:tx>
            <c:strRef>
              <c:f>Charts!$AB$13</c:f>
              <c:strCache>
                <c:ptCount val="1"/>
                <c:pt idx="0">
                  <c:v>Closed in &gt;24hrs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Charts!$AC$10:$AG$11</c:f>
              <c:strCache>
                <c:ptCount val="5"/>
                <c:pt idx="0">
                  <c:v>CW 41</c:v>
                </c:pt>
                <c:pt idx="1">
                  <c:v>CW 42</c:v>
                </c:pt>
                <c:pt idx="2">
                  <c:v>CW 43</c:v>
                </c:pt>
                <c:pt idx="3">
                  <c:v>CW 44</c:v>
                </c:pt>
                <c:pt idx="4">
                  <c:v>CW 45</c:v>
                </c:pt>
              </c:strCache>
            </c:strRef>
          </c:cat>
          <c:val>
            <c:numRef>
              <c:f>Charts!$AC$13:$AG$13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EA-44EF-80D0-D7FF13822EC4}"/>
            </c:ext>
          </c:extLst>
        </c:ser>
        <c:ser>
          <c:idx val="2"/>
          <c:order val="2"/>
          <c:tx>
            <c:strRef>
              <c:f>Charts!$AB$14</c:f>
              <c:strCache>
                <c:ptCount val="1"/>
                <c:pt idx="0">
                  <c:v>Still Open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Charts!$AC$10:$AG$11</c:f>
              <c:strCache>
                <c:ptCount val="5"/>
                <c:pt idx="0">
                  <c:v>CW 41</c:v>
                </c:pt>
                <c:pt idx="1">
                  <c:v>CW 42</c:v>
                </c:pt>
                <c:pt idx="2">
                  <c:v>CW 43</c:v>
                </c:pt>
                <c:pt idx="3">
                  <c:v>CW 44</c:v>
                </c:pt>
                <c:pt idx="4">
                  <c:v>CW 45</c:v>
                </c:pt>
              </c:strCache>
            </c:strRef>
          </c:cat>
          <c:val>
            <c:numRef>
              <c:f>Charts!$AC$14:$AG$14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EA-44EF-80D0-D7FF13822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5662944"/>
        <c:axId val="1165649216"/>
      </c:barChart>
      <c:lineChart>
        <c:grouping val="standard"/>
        <c:varyColors val="0"/>
        <c:ser>
          <c:idx val="3"/>
          <c:order val="3"/>
          <c:tx>
            <c:strRef>
              <c:f>Charts!$AB$15</c:f>
              <c:strCache>
                <c:ptCount val="1"/>
                <c:pt idx="0">
                  <c:v>Rate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7725639670904126E-2"/>
                  <c:y val="-0.4551206180017413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EA-44EF-80D0-D7FF13822EC4}"/>
                </c:ext>
              </c:extLst>
            </c:dLbl>
            <c:dLbl>
              <c:idx val="1"/>
              <c:layout>
                <c:manualLayout>
                  <c:x val="-7.4768338145399141E-2"/>
                  <c:y val="-8.8929315098843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EA-44EF-80D0-D7FF13822EC4}"/>
                </c:ext>
              </c:extLst>
            </c:dLbl>
            <c:dLbl>
              <c:idx val="2"/>
              <c:layout>
                <c:manualLayout>
                  <c:x val="-5.2856408899726627E-2"/>
                  <c:y val="-9.3325686247051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EA-44EF-80D0-D7FF13822EC4}"/>
                </c:ext>
              </c:extLst>
            </c:dLbl>
            <c:dLbl>
              <c:idx val="3"/>
              <c:layout>
                <c:manualLayout>
                  <c:x val="-2.6151951486257128E-2"/>
                  <c:y val="-0.1063650509837589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EA-44EF-80D0-D7FF13822EC4}"/>
                </c:ext>
              </c:extLst>
            </c:dLbl>
            <c:dLbl>
              <c:idx val="4"/>
              <c:layout>
                <c:manualLayout>
                  <c:x val="-4.3133370088489963E-2"/>
                  <c:y val="-0.2285290956202951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EA-44EF-80D0-D7FF13822E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Charts!$AC$10:$AG$11</c:f>
              <c:strCache>
                <c:ptCount val="5"/>
                <c:pt idx="0">
                  <c:v>CW 41</c:v>
                </c:pt>
                <c:pt idx="1">
                  <c:v>CW 42</c:v>
                </c:pt>
                <c:pt idx="2">
                  <c:v>CW 43</c:v>
                </c:pt>
                <c:pt idx="3">
                  <c:v>CW 44</c:v>
                </c:pt>
                <c:pt idx="4">
                  <c:v>CW 45</c:v>
                </c:pt>
              </c:strCache>
            </c:strRef>
          </c:cat>
          <c:val>
            <c:numRef>
              <c:f>Charts!$AC$15:$AG$15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EA-44EF-80D0-D7FF13822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6316320"/>
        <c:axId val="1536318816"/>
      </c:lineChart>
      <c:catAx>
        <c:axId val="116566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49216"/>
        <c:crosses val="autoZero"/>
        <c:auto val="1"/>
        <c:lblAlgn val="ctr"/>
        <c:lblOffset val="100"/>
        <c:noMultiLvlLbl val="0"/>
      </c:catAx>
      <c:valAx>
        <c:axId val="116564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62944"/>
        <c:crosses val="autoZero"/>
        <c:crossBetween val="between"/>
      </c:valAx>
      <c:valAx>
        <c:axId val="1536318816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316320"/>
        <c:crosses val="max"/>
        <c:crossBetween val="between"/>
      </c:valAx>
      <c:catAx>
        <c:axId val="1536316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6318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8.emf"/><Relationship Id="rId18" Type="http://schemas.openxmlformats.org/officeDocument/2006/relationships/image" Target="../media/image4.emf"/><Relationship Id="rId3" Type="http://schemas.openxmlformats.org/officeDocument/2006/relationships/image" Target="../media/image16.emf"/><Relationship Id="rId21" Type="http://schemas.openxmlformats.org/officeDocument/2006/relationships/image" Target="../media/image12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5.emf"/><Relationship Id="rId2" Type="http://schemas.openxmlformats.org/officeDocument/2006/relationships/image" Target="../media/image17.emf"/><Relationship Id="rId16" Type="http://schemas.openxmlformats.org/officeDocument/2006/relationships/image" Target="../media/image21.emf"/><Relationship Id="rId20" Type="http://schemas.openxmlformats.org/officeDocument/2006/relationships/image" Target="../media/image2.emf"/><Relationship Id="rId1" Type="http://schemas.openxmlformats.org/officeDocument/2006/relationships/image" Target="../media/image22.emf"/><Relationship Id="rId6" Type="http://schemas.openxmlformats.org/officeDocument/2006/relationships/image" Target="../media/image13.emf"/><Relationship Id="rId11" Type="http://schemas.openxmlformats.org/officeDocument/2006/relationships/image" Target="../media/image7.emf"/><Relationship Id="rId5" Type="http://schemas.openxmlformats.org/officeDocument/2006/relationships/image" Target="../media/image14.emf"/><Relationship Id="rId15" Type="http://schemas.openxmlformats.org/officeDocument/2006/relationships/image" Target="../media/image20.emf"/><Relationship Id="rId10" Type="http://schemas.openxmlformats.org/officeDocument/2006/relationships/image" Target="../media/image8.emf"/><Relationship Id="rId19" Type="http://schemas.openxmlformats.org/officeDocument/2006/relationships/image" Target="../media/image3.emf"/><Relationship Id="rId4" Type="http://schemas.openxmlformats.org/officeDocument/2006/relationships/image" Target="../media/image15.emf"/><Relationship Id="rId9" Type="http://schemas.openxmlformats.org/officeDocument/2006/relationships/image" Target="../media/image9.emf"/><Relationship Id="rId14" Type="http://schemas.openxmlformats.org/officeDocument/2006/relationships/image" Target="../media/image19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164</xdr:row>
      <xdr:rowOff>222250</xdr:rowOff>
    </xdr:from>
    <xdr:ext cx="5756910" cy="2543175"/>
    <xdr:pic>
      <xdr:nvPicPr>
        <xdr:cNvPr id="2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850" y="66163825"/>
          <a:ext cx="5756910" cy="254317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10</xdr:row>
          <xdr:rowOff>38100</xdr:rowOff>
        </xdr:from>
        <xdr:to>
          <xdr:col>3</xdr:col>
          <xdr:colOff>335280</xdr:colOff>
          <xdr:row>11</xdr:row>
          <xdr:rowOff>45720</xdr:rowOff>
        </xdr:to>
        <xdr:sp macro="" textlink="">
          <xdr:nvSpPr>
            <xdr:cNvPr id="2100" name="E03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9</xdr:row>
          <xdr:rowOff>60960</xdr:rowOff>
        </xdr:from>
        <xdr:to>
          <xdr:col>3</xdr:col>
          <xdr:colOff>335280</xdr:colOff>
          <xdr:row>10</xdr:row>
          <xdr:rowOff>68580</xdr:rowOff>
        </xdr:to>
        <xdr:sp macro="" textlink="">
          <xdr:nvSpPr>
            <xdr:cNvPr id="2099" name="E02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0</xdr:col>
      <xdr:colOff>0</xdr:colOff>
      <xdr:row>31</xdr:row>
      <xdr:rowOff>122830</xdr:rowOff>
    </xdr:from>
    <xdr:to>
      <xdr:col>18</xdr:col>
      <xdr:colOff>54805</xdr:colOff>
      <xdr:row>32</xdr:row>
      <xdr:rowOff>3144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 flipV="1">
          <a:off x="0" y="6548542"/>
          <a:ext cx="7048500" cy="74996"/>
        </a:xfrm>
        <a:prstGeom prst="rect">
          <a:avLst/>
        </a:prstGeom>
        <a:solidFill>
          <a:schemeClr val="bg1">
            <a:lumMod val="75000"/>
          </a:schemeClr>
        </a:solidFill>
        <a:ln w="317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>
            <a:ln>
              <a:solidFill>
                <a:sysClr val="windowText" lastClr="000000"/>
              </a:solidFill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17</xdr:col>
      <xdr:colOff>133349</xdr:colOff>
      <xdr:row>3</xdr:row>
      <xdr:rowOff>19048</xdr:rowOff>
    </xdr:from>
    <xdr:to>
      <xdr:col>19</xdr:col>
      <xdr:colOff>9525</xdr:colOff>
      <xdr:row>31</xdr:row>
      <xdr:rowOff>123823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flipV="1">
          <a:off x="7019924" y="552448"/>
          <a:ext cx="114301" cy="54387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>
            <a:ln>
              <a:solidFill>
                <a:sysClr val="windowText" lastClr="000000"/>
              </a:solidFill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57150</xdr:colOff>
      <xdr:row>31</xdr:row>
      <xdr:rowOff>161924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 flipV="1">
          <a:off x="0" y="0"/>
          <a:ext cx="57150" cy="630554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>
            <a:ln>
              <a:solidFill>
                <a:sysClr val="windowText" lastClr="000000"/>
              </a:solidFill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28575</xdr:colOff>
      <xdr:row>1</xdr:row>
      <xdr:rowOff>9523</xdr:rowOff>
    </xdr:from>
    <xdr:to>
      <xdr:col>2</xdr:col>
      <xdr:colOff>59167</xdr:colOff>
      <xdr:row>3</xdr:row>
      <xdr:rowOff>1359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76198"/>
          <a:ext cx="1455532" cy="477611"/>
        </a:xfrm>
        <a:prstGeom prst="rect">
          <a:avLst/>
        </a:prstGeom>
      </xdr:spPr>
    </xdr:pic>
    <xdr:clientData/>
  </xdr:twoCellAnchor>
  <xdr:oneCellAnchor>
    <xdr:from>
      <xdr:col>1</xdr:col>
      <xdr:colOff>3551</xdr:colOff>
      <xdr:row>21</xdr:row>
      <xdr:rowOff>51260</xdr:rowOff>
    </xdr:from>
    <xdr:ext cx="3889099" cy="2114551"/>
    <xdr:pic>
      <xdr:nvPicPr>
        <xdr:cNvPr id="6" name="Grafik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93"/>
        <a:stretch/>
      </xdr:blipFill>
      <xdr:spPr>
        <a:xfrm>
          <a:off x="127376" y="4318460"/>
          <a:ext cx="3889099" cy="2114551"/>
        </a:xfrm>
        <a:prstGeom prst="rect">
          <a:avLst/>
        </a:prstGeom>
        <a:solidFill>
          <a:schemeClr val="bg1"/>
        </a:solidFill>
        <a:ln w="12700">
          <a:noFill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25</xdr:row>
          <xdr:rowOff>198120</xdr:rowOff>
        </xdr:from>
        <xdr:to>
          <xdr:col>16</xdr:col>
          <xdr:colOff>373380</xdr:colOff>
          <xdr:row>27</xdr:row>
          <xdr:rowOff>160020</xdr:rowOff>
        </xdr:to>
        <xdr:sp macro="" textlink="">
          <xdr:nvSpPr>
            <xdr:cNvPr id="2050" name="Record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99060</xdr:colOff>
          <xdr:row>1</xdr:row>
          <xdr:rowOff>0</xdr:rowOff>
        </xdr:from>
        <xdr:to>
          <xdr:col>22</xdr:col>
          <xdr:colOff>1531620</xdr:colOff>
          <xdr:row>2</xdr:row>
          <xdr:rowOff>68580</xdr:rowOff>
        </xdr:to>
        <xdr:sp macro="" textlink="">
          <xdr:nvSpPr>
            <xdr:cNvPr id="2055" name="JohnCen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7</xdr:row>
      <xdr:rowOff>39779</xdr:rowOff>
    </xdr:from>
    <xdr:to>
      <xdr:col>1</xdr:col>
      <xdr:colOff>555879</xdr:colOff>
      <xdr:row>12</xdr:row>
      <xdr:rowOff>57016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133350" y="1268504"/>
          <a:ext cx="557784" cy="1060323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0" tIns="0" rIns="0" bIns="0" numCol="1" spcCol="914400" rtlCol="0" anchor="ctr"/>
        <a:lstStyle/>
        <a:p>
          <a:pPr marL="0" algn="ctr">
            <a:spcBef>
              <a:spcPts val="300"/>
            </a:spcBef>
          </a:pPr>
          <a:br>
            <a:rPr lang="en-US" sz="1050">
              <a:solidFill>
                <a:sysClr val="windowText" lastClr="000000"/>
              </a:solidFill>
            </a:rPr>
          </a:br>
          <a:r>
            <a:rPr lang="en-US" sz="1050">
              <a:solidFill>
                <a:sysClr val="windowText" lastClr="000000"/>
              </a:solidFill>
            </a:rPr>
            <a:t>A</a:t>
          </a:r>
        </a:p>
        <a:p>
          <a:pPr marL="0" algn="ctr">
            <a:spcBef>
              <a:spcPts val="300"/>
            </a:spcBef>
          </a:pPr>
          <a:r>
            <a:rPr lang="en-US" sz="1050">
              <a:solidFill>
                <a:sysClr val="windowText" lastClr="000000"/>
              </a:solidFill>
            </a:rPr>
            <a:t>B</a:t>
          </a:r>
        </a:p>
        <a:p>
          <a:pPr marL="0" algn="ctr">
            <a:spcBef>
              <a:spcPts val="300"/>
            </a:spcBef>
          </a:pPr>
          <a:r>
            <a:rPr lang="en-US" sz="1050">
              <a:solidFill>
                <a:sysClr val="windowText" lastClr="000000"/>
              </a:solidFill>
            </a:rPr>
            <a:t>C</a:t>
          </a:r>
        </a:p>
        <a:p>
          <a:pPr marL="0" algn="ctr">
            <a:spcBef>
              <a:spcPts val="300"/>
            </a:spcBef>
          </a:pPr>
          <a:r>
            <a:rPr lang="en-US" sz="1050">
              <a:solidFill>
                <a:sysClr val="windowText" lastClr="000000"/>
              </a:solidFill>
            </a:rPr>
            <a:t>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74520</xdr:colOff>
          <xdr:row>8</xdr:row>
          <xdr:rowOff>93221</xdr:rowOff>
        </xdr:from>
        <xdr:to>
          <xdr:col>1</xdr:col>
          <xdr:colOff>247875</xdr:colOff>
          <xdr:row>12</xdr:row>
          <xdr:rowOff>21886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205899" y="1512118"/>
              <a:ext cx="173355" cy="769492"/>
              <a:chOff x="261938" y="1666892"/>
              <a:chExt cx="161925" cy="752503"/>
            </a:xfrm>
          </xdr:grpSpPr>
          <xdr:sp macro="" textlink="">
            <xdr:nvSpPr>
              <xdr:cNvPr id="2056" name="A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100-000008080000}"/>
                  </a:ext>
                </a:extLst>
              </xdr:cNvPr>
              <xdr:cNvSpPr/>
            </xdr:nvSpPr>
            <xdr:spPr bwMode="auto">
              <a:xfrm>
                <a:off x="261938" y="1666892"/>
                <a:ext cx="161925" cy="1428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7" name="B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100-000009080000}"/>
                  </a:ext>
                </a:extLst>
              </xdr:cNvPr>
              <xdr:cNvSpPr/>
            </xdr:nvSpPr>
            <xdr:spPr bwMode="auto">
              <a:xfrm>
                <a:off x="261938" y="1870076"/>
                <a:ext cx="161925" cy="14287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8" name="C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100-00000A080000}"/>
                  </a:ext>
                </a:extLst>
              </xdr:cNvPr>
              <xdr:cNvSpPr/>
            </xdr:nvSpPr>
            <xdr:spPr bwMode="auto">
              <a:xfrm>
                <a:off x="261938" y="2073280"/>
                <a:ext cx="161925" cy="14287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9" name="D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100-00000B080000}"/>
                  </a:ext>
                </a:extLst>
              </xdr:cNvPr>
              <xdr:cNvSpPr/>
            </xdr:nvSpPr>
            <xdr:spPr bwMode="auto">
              <a:xfrm>
                <a:off x="261938" y="2276523"/>
                <a:ext cx="161925" cy="1428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13</xdr:row>
          <xdr:rowOff>0</xdr:rowOff>
        </xdr:from>
        <xdr:to>
          <xdr:col>4</xdr:col>
          <xdr:colOff>45720</xdr:colOff>
          <xdr:row>14</xdr:row>
          <xdr:rowOff>60960</xdr:rowOff>
        </xdr:to>
        <xdr:sp macro="" textlink="">
          <xdr:nvSpPr>
            <xdr:cNvPr id="2064" name="MachineBox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</xdr:colOff>
          <xdr:row>5</xdr:row>
          <xdr:rowOff>45720</xdr:rowOff>
        </xdr:from>
        <xdr:to>
          <xdr:col>17</xdr:col>
          <xdr:colOff>22860</xdr:colOff>
          <xdr:row>5</xdr:row>
          <xdr:rowOff>327660</xdr:rowOff>
        </xdr:to>
        <xdr:sp macro="" textlink="">
          <xdr:nvSpPr>
            <xdr:cNvPr id="2067" name="Datebox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106680</xdr:colOff>
          <xdr:row>5</xdr:row>
          <xdr:rowOff>60960</xdr:rowOff>
        </xdr:from>
        <xdr:to>
          <xdr:col>4</xdr:col>
          <xdr:colOff>7620</xdr:colOff>
          <xdr:row>6</xdr:row>
          <xdr:rowOff>7620</xdr:rowOff>
        </xdr:to>
        <xdr:sp macro="" textlink="">
          <xdr:nvSpPr>
            <xdr:cNvPr id="2068" name="AuditorBox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5</xdr:row>
          <xdr:rowOff>45720</xdr:rowOff>
        </xdr:from>
        <xdr:to>
          <xdr:col>6</xdr:col>
          <xdr:colOff>129540</xdr:colOff>
          <xdr:row>5</xdr:row>
          <xdr:rowOff>335280</xdr:rowOff>
        </xdr:to>
        <xdr:sp macro="" textlink="">
          <xdr:nvSpPr>
            <xdr:cNvPr id="2069" name="IPQCNo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68580</xdr:colOff>
          <xdr:row>5</xdr:row>
          <xdr:rowOff>45720</xdr:rowOff>
        </xdr:from>
        <xdr:to>
          <xdr:col>9</xdr:col>
          <xdr:colOff>106680</xdr:colOff>
          <xdr:row>5</xdr:row>
          <xdr:rowOff>327660</xdr:rowOff>
        </xdr:to>
        <xdr:sp macro="" textlink="">
          <xdr:nvSpPr>
            <xdr:cNvPr id="2070" name="SevereBox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10</xdr:col>
      <xdr:colOff>98416</xdr:colOff>
      <xdr:row>5</xdr:row>
      <xdr:rowOff>129877</xdr:rowOff>
    </xdr:from>
    <xdr:to>
      <xdr:col>14</xdr:col>
      <xdr:colOff>98416</xdr:colOff>
      <xdr:row>7</xdr:row>
      <xdr:rowOff>167</xdr:rowOff>
    </xdr:to>
    <xdr:sp macro="" textlink="">
      <xdr:nvSpPr>
        <xdr:cNvPr id="2071" name="TextBox3" hidden="1">
          <a:extLst>
            <a:ext uri="{63B3BB69-23CF-44E3-9099-C40C66FF867C}">
              <a14:compatExt xmlns:a14="http://schemas.microsoft.com/office/drawing/2010/main" spid="_x0000_s2071"/>
            </a:ext>
            <a:ext uri="{FF2B5EF4-FFF2-40B4-BE49-F238E27FC236}">
              <a16:creationId xmlns:a16="http://schemas.microsoft.com/office/drawing/2014/main" id="{00000000-0008-0000-02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7</xdr:row>
          <xdr:rowOff>190500</xdr:rowOff>
        </xdr:from>
        <xdr:to>
          <xdr:col>17</xdr:col>
          <xdr:colOff>99060</xdr:colOff>
          <xdr:row>13</xdr:row>
          <xdr:rowOff>22860</xdr:rowOff>
        </xdr:to>
        <xdr:sp macro="" textlink="">
          <xdr:nvSpPr>
            <xdr:cNvPr id="2072" name="ItemBox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14</xdr:row>
          <xdr:rowOff>45720</xdr:rowOff>
        </xdr:from>
        <xdr:to>
          <xdr:col>16</xdr:col>
          <xdr:colOff>419100</xdr:colOff>
          <xdr:row>20</xdr:row>
          <xdr:rowOff>106680</xdr:rowOff>
        </xdr:to>
        <xdr:sp macro="" textlink="">
          <xdr:nvSpPr>
            <xdr:cNvPr id="2073" name="ComBox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5</xdr:row>
          <xdr:rowOff>45720</xdr:rowOff>
        </xdr:from>
        <xdr:to>
          <xdr:col>14</xdr:col>
          <xdr:colOff>83820</xdr:colOff>
          <xdr:row>5</xdr:row>
          <xdr:rowOff>327660</xdr:rowOff>
        </xdr:to>
        <xdr:sp macro="" textlink="">
          <xdr:nvSpPr>
            <xdr:cNvPr id="2074" name="ProcessBox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21</xdr:row>
          <xdr:rowOff>190500</xdr:rowOff>
        </xdr:from>
        <xdr:to>
          <xdr:col>17</xdr:col>
          <xdr:colOff>22860</xdr:colOff>
          <xdr:row>23</xdr:row>
          <xdr:rowOff>0</xdr:rowOff>
        </xdr:to>
        <xdr:sp macro="" textlink="">
          <xdr:nvSpPr>
            <xdr:cNvPr id="2094" name="ContactPIC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24</xdr:row>
          <xdr:rowOff>0</xdr:rowOff>
        </xdr:from>
        <xdr:to>
          <xdr:col>17</xdr:col>
          <xdr:colOff>22860</xdr:colOff>
          <xdr:row>25</xdr:row>
          <xdr:rowOff>60960</xdr:rowOff>
        </xdr:to>
        <xdr:sp macro="" textlink="">
          <xdr:nvSpPr>
            <xdr:cNvPr id="2095" name="ContactTeam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8</xdr:row>
          <xdr:rowOff>60960</xdr:rowOff>
        </xdr:from>
        <xdr:to>
          <xdr:col>3</xdr:col>
          <xdr:colOff>335280</xdr:colOff>
          <xdr:row>9</xdr:row>
          <xdr:rowOff>68580</xdr:rowOff>
        </xdr:to>
        <xdr:sp macro="" textlink="">
          <xdr:nvSpPr>
            <xdr:cNvPr id="2096" name="E01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3</xdr:col>
      <xdr:colOff>16585</xdr:colOff>
      <xdr:row>7</xdr:row>
      <xdr:rowOff>39779</xdr:rowOff>
    </xdr:from>
    <xdr:to>
      <xdr:col>4</xdr:col>
      <xdr:colOff>54304</xdr:colOff>
      <xdr:row>12</xdr:row>
      <xdr:rowOff>57016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/>
        </xdr:cNvSpPr>
      </xdr:nvSpPr>
      <xdr:spPr>
        <a:xfrm>
          <a:off x="847165" y="1268504"/>
          <a:ext cx="557784" cy="1060323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0" tIns="182880" rIns="0" bIns="0" numCol="1" spcCol="914400" rtlCol="0" anchor="ctr"/>
        <a:lstStyle/>
        <a:p>
          <a:pPr marL="0" algn="ctr">
            <a:spcBef>
              <a:spcPts val="300"/>
            </a:spcBef>
          </a:pPr>
          <a:r>
            <a:rPr lang="en-US" sz="1050">
              <a:solidFill>
                <a:sysClr val="windowText" lastClr="000000"/>
              </a:solidFill>
            </a:rPr>
            <a:t>E01</a:t>
          </a:r>
        </a:p>
        <a:p>
          <a:pPr marL="0" algn="ctr">
            <a:spcBef>
              <a:spcPts val="300"/>
            </a:spcBef>
          </a:pPr>
          <a:r>
            <a:rPr lang="en-US" sz="1050">
              <a:solidFill>
                <a:sysClr val="windowText" lastClr="000000"/>
              </a:solidFill>
            </a:rPr>
            <a:t>E02</a:t>
          </a:r>
          <a:r>
            <a:rPr lang="en-US" sz="1050" baseline="0">
              <a:solidFill>
                <a:sysClr val="windowText" lastClr="000000"/>
              </a:solidFill>
            </a:rPr>
            <a:t> </a:t>
          </a:r>
        </a:p>
        <a:p>
          <a:pPr marL="0" algn="ctr">
            <a:spcBef>
              <a:spcPts val="300"/>
            </a:spcBef>
          </a:pPr>
          <a:r>
            <a:rPr lang="en-US" sz="1050" baseline="0">
              <a:solidFill>
                <a:sysClr val="windowText" lastClr="000000"/>
              </a:solidFill>
            </a:rPr>
            <a:t>E03 </a:t>
          </a:r>
        </a:p>
        <a:p>
          <a:pPr marL="0" algn="ctr">
            <a:spcBef>
              <a:spcPts val="300"/>
            </a:spcBef>
          </a:pPr>
          <a:r>
            <a:rPr lang="en-US" sz="1050" baseline="0">
              <a:solidFill>
                <a:sysClr val="windowText" lastClr="000000"/>
              </a:solidFill>
            </a:rPr>
            <a:t>All</a:t>
          </a:r>
          <a:endParaRPr lang="en-US" sz="105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17</xdr:row>
          <xdr:rowOff>76200</xdr:rowOff>
        </xdr:from>
        <xdr:to>
          <xdr:col>3</xdr:col>
          <xdr:colOff>342900</xdr:colOff>
          <xdr:row>18</xdr:row>
          <xdr:rowOff>137160</xdr:rowOff>
        </xdr:to>
        <xdr:sp macro="" textlink="">
          <xdr:nvSpPr>
            <xdr:cNvPr id="2112" name="Opened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15</xdr:row>
          <xdr:rowOff>114300</xdr:rowOff>
        </xdr:from>
        <xdr:to>
          <xdr:col>3</xdr:col>
          <xdr:colOff>342900</xdr:colOff>
          <xdr:row>16</xdr:row>
          <xdr:rowOff>175260</xdr:rowOff>
        </xdr:to>
        <xdr:sp macro="" textlink="">
          <xdr:nvSpPr>
            <xdr:cNvPr id="2113" name="Closed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</xdr:colOff>
          <xdr:row>19</xdr:row>
          <xdr:rowOff>45720</xdr:rowOff>
        </xdr:from>
        <xdr:to>
          <xdr:col>3</xdr:col>
          <xdr:colOff>342900</xdr:colOff>
          <xdr:row>20</xdr:row>
          <xdr:rowOff>106680</xdr:rowOff>
        </xdr:to>
        <xdr:sp macro="" textlink="">
          <xdr:nvSpPr>
            <xdr:cNvPr id="2114" name="Monitoring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11</xdr:row>
          <xdr:rowOff>83820</xdr:rowOff>
        </xdr:from>
        <xdr:to>
          <xdr:col>3</xdr:col>
          <xdr:colOff>205740</xdr:colOff>
          <xdr:row>12</xdr:row>
          <xdr:rowOff>0</xdr:rowOff>
        </xdr:to>
        <xdr:sp macro="" textlink="">
          <xdr:nvSpPr>
            <xdr:cNvPr id="2115" name="ALL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22</xdr:col>
      <xdr:colOff>428624</xdr:colOff>
      <xdr:row>5</xdr:row>
      <xdr:rowOff>66675</xdr:rowOff>
    </xdr:from>
    <xdr:to>
      <xdr:col>25</xdr:col>
      <xdr:colOff>200025</xdr:colOff>
      <xdr:row>9</xdr:row>
      <xdr:rowOff>66675</xdr:rowOff>
    </xdr:to>
    <xdr:sp macro="" textlink="">
      <xdr:nvSpPr>
        <xdr:cNvPr id="11" name="Scroll: Horizontal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705849" y="885825"/>
          <a:ext cx="2524126" cy="809625"/>
        </a:xfrm>
        <a:prstGeom prst="horizontalScroll">
          <a:avLst/>
        </a:prstGeom>
        <a:solidFill>
          <a:schemeClr val="accent2">
            <a:lumMod val="75000"/>
            <a:alpha val="99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0" tIns="0" rIns="0" bIns="0" numCol="1" spcCol="914400" rtlCol="0" anchor="ctr"/>
        <a:lstStyle/>
        <a:p>
          <a:pPr marL="0" algn="ctr">
            <a:spcBef>
              <a:spcPts val="300"/>
            </a:spcBef>
          </a:pPr>
          <a:r>
            <a:rPr lang="en-US" sz="1050">
              <a:solidFill>
                <a:sysClr val="windowText" lastClr="000000"/>
              </a:solidFill>
            </a:rPr>
            <a:t>You can add locations</a:t>
          </a:r>
          <a:r>
            <a:rPr lang="en-US" sz="1050" baseline="0">
              <a:solidFill>
                <a:sysClr val="windowText" lastClr="000000"/>
              </a:solidFill>
            </a:rPr>
            <a:t> based of process area below!  Just add location name in the respective row. </a:t>
          </a:r>
          <a:endParaRPr lang="en-US" sz="1050">
            <a:solidFill>
              <a:sysClr val="windowText" lastClr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</xdr:row>
          <xdr:rowOff>7620</xdr:rowOff>
        </xdr:from>
        <xdr:to>
          <xdr:col>21</xdr:col>
          <xdr:colOff>7620</xdr:colOff>
          <xdr:row>5</xdr:row>
          <xdr:rowOff>274320</xdr:rowOff>
        </xdr:to>
        <xdr:sp macro="" textlink="">
          <xdr:nvSpPr>
            <xdr:cNvPr id="2116" name="CommandButton1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587747</xdr:colOff>
      <xdr:row>21</xdr:row>
      <xdr:rowOff>197672</xdr:rowOff>
    </xdr:from>
    <xdr:to>
      <xdr:col>30</xdr:col>
      <xdr:colOff>54349</xdr:colOff>
      <xdr:row>46</xdr:row>
      <xdr:rowOff>172122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30</xdr:col>
      <xdr:colOff>167752</xdr:colOff>
      <xdr:row>21</xdr:row>
      <xdr:rowOff>218627</xdr:rowOff>
    </xdr:from>
    <xdr:to>
      <xdr:col>36</xdr:col>
      <xdr:colOff>378759</xdr:colOff>
      <xdr:row>34</xdr:row>
      <xdr:rowOff>96243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30</xdr:col>
      <xdr:colOff>190912</xdr:colOff>
      <xdr:row>34</xdr:row>
      <xdr:rowOff>54915</xdr:rowOff>
    </xdr:from>
    <xdr:to>
      <xdr:col>36</xdr:col>
      <xdr:colOff>384774</xdr:colOff>
      <xdr:row>46</xdr:row>
      <xdr:rowOff>154297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36</xdr:col>
      <xdr:colOff>417367</xdr:colOff>
      <xdr:row>26</xdr:row>
      <xdr:rowOff>16876</xdr:rowOff>
    </xdr:from>
    <xdr:to>
      <xdr:col>43</xdr:col>
      <xdr:colOff>91612</xdr:colOff>
      <xdr:row>38</xdr:row>
      <xdr:rowOff>116257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17</xdr:col>
      <xdr:colOff>592454</xdr:colOff>
      <xdr:row>47</xdr:row>
      <xdr:rowOff>162374</xdr:rowOff>
    </xdr:from>
    <xdr:to>
      <xdr:col>24</xdr:col>
      <xdr:colOff>287699</xdr:colOff>
      <xdr:row>60</xdr:row>
      <xdr:rowOff>55537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24</xdr:col>
      <xdr:colOff>285751</xdr:colOff>
      <xdr:row>47</xdr:row>
      <xdr:rowOff>162374</xdr:rowOff>
    </xdr:from>
    <xdr:to>
      <xdr:col>30</xdr:col>
      <xdr:colOff>55627</xdr:colOff>
      <xdr:row>60</xdr:row>
      <xdr:rowOff>55537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0</xdr:colOff>
      <xdr:row>60</xdr:row>
      <xdr:rowOff>55918</xdr:rowOff>
    </xdr:from>
    <xdr:to>
      <xdr:col>24</xdr:col>
      <xdr:colOff>289381</xdr:colOff>
      <xdr:row>72</xdr:row>
      <xdr:rowOff>171742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24</xdr:col>
      <xdr:colOff>285751</xdr:colOff>
      <xdr:row>60</xdr:row>
      <xdr:rowOff>55918</xdr:rowOff>
    </xdr:from>
    <xdr:to>
      <xdr:col>30</xdr:col>
      <xdr:colOff>55627</xdr:colOff>
      <xdr:row>72</xdr:row>
      <xdr:rowOff>171742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18</xdr:col>
      <xdr:colOff>16922</xdr:colOff>
      <xdr:row>1</xdr:row>
      <xdr:rowOff>16248</xdr:rowOff>
    </xdr:from>
    <xdr:to>
      <xdr:col>25</xdr:col>
      <xdr:colOff>571500</xdr:colOff>
      <xdr:row>19</xdr:row>
      <xdr:rowOff>173579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134471</xdr:colOff>
      <xdr:row>7</xdr:row>
      <xdr:rowOff>123266</xdr:rowOff>
    </xdr:from>
    <xdr:to>
      <xdr:col>22</xdr:col>
      <xdr:colOff>470647</xdr:colOff>
      <xdr:row>12</xdr:row>
      <xdr:rowOff>56031</xdr:rowOff>
    </xdr:to>
    <xdr:sp macro="" textlink="$AF$5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1900647" y="1266266"/>
          <a:ext cx="918882" cy="5602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bIns="45720" rtlCol="0" anchor="ctr"/>
        <a:lstStyle/>
        <a:p>
          <a:pPr algn="ctr"/>
          <a:fld id="{F8EB072C-557F-4DFD-9181-0D8C11F09966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#DIV/0!</a:t>
          </a:fld>
          <a:endParaRPr lang="en-US" sz="2400" b="1" i="0"/>
        </a:p>
      </xdr:txBody>
    </xdr:sp>
    <xdr:clientData/>
  </xdr:twoCellAnchor>
  <xdr:twoCellAnchor>
    <xdr:from>
      <xdr:col>34</xdr:col>
      <xdr:colOff>16808</xdr:colOff>
      <xdr:row>1</xdr:row>
      <xdr:rowOff>11207</xdr:rowOff>
    </xdr:from>
    <xdr:to>
      <xdr:col>42</xdr:col>
      <xdr:colOff>571501</xdr:colOff>
      <xdr:row>19</xdr:row>
      <xdr:rowOff>179294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123EF6-7286-4A16-8328-D8C84524FEDD}" name="AuditorName" displayName="AuditorName" ref="U10:U32" totalsRowShown="0" headerRowDxfId="58" dataDxfId="57">
  <autoFilter ref="U10:U32" xr:uid="{AC123EF6-7286-4A16-8328-D8C84524FEDD}"/>
  <sortState xmlns:xlrd2="http://schemas.microsoft.com/office/spreadsheetml/2017/richdata2" ref="U11:U32">
    <sortCondition ref="U10:U32"/>
  </sortState>
  <tableColumns count="1">
    <tableColumn id="1" xr3:uid="{4A4FF650-4D37-454A-87EA-147C230096D5}" name="Auditor Names" dataDxfId="56"/>
  </tableColumns>
  <tableStyleInfo name="TableStyleLight7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3A05B9-3FC2-450D-9AFB-1B1FB68A04E4}" name="locations" displayName="locations" ref="W10:AJ32" totalsRowShown="0" headerRowDxfId="55" dataDxfId="54">
  <autoFilter ref="W10:AJ32" xr:uid="{983A05B9-3FC2-450D-9AFB-1B1FB68A04E4}"/>
  <tableColumns count="14">
    <tableColumn id="1" xr3:uid="{A01F461F-A4E0-4DE2-A661-D527CA46353F}" name="Location" dataDxfId="53"/>
    <tableColumn id="2" xr3:uid="{AB92270F-7E88-4278-B3A6-D0F11CF04C9E}" name="A" dataDxfId="52"/>
    <tableColumn id="3" xr3:uid="{4769B5B7-B4F5-417C-A494-0FA8C9A9E091}" name="B" dataDxfId="51"/>
    <tableColumn id="4" xr3:uid="{75C977D5-D32D-4420-B1FA-A08AB546113B}" name="C" dataDxfId="50"/>
    <tableColumn id="5" xr3:uid="{B29CD05F-DC8A-450A-B625-ED8D0FFEF397}" name="D" dataDxfId="49"/>
    <tableColumn id="6" xr3:uid="{987452AD-C556-42D6-A5DF-D19E1A1FB7CD}" name="E" dataDxfId="48"/>
    <tableColumn id="7" xr3:uid="{58388A15-70C3-473B-8808-1BE8C3317FDF}" name="F" dataDxfId="47"/>
    <tableColumn id="8" xr3:uid="{1D7FE448-CB9D-496C-A442-04D444EB4037}" name="G" dataDxfId="46"/>
    <tableColumn id="9" xr3:uid="{A843C3E1-A362-4300-A8D0-612EDC64A25E}" name="H" dataDxfId="45"/>
    <tableColumn id="10" xr3:uid="{6A372727-9DFD-45DC-BADA-D4C11237B84E}" name="I" dataDxfId="44"/>
    <tableColumn id="11" xr3:uid="{81D83627-619D-4831-8264-EF17FA76DC6B}" name="J" dataDxfId="43"/>
    <tableColumn id="12" xr3:uid="{1A6D2712-F598-41DF-B0FB-D0C857938236}" name="K" dataDxfId="42"/>
    <tableColumn id="13" xr3:uid="{6A27FE33-661E-4251-A22E-1FFDBE1BCD5B}" name="L" dataDxfId="41"/>
    <tableColumn id="14" xr3:uid="{F7CC22C6-6197-4EF3-82DE-D314C8ED5020}" name="M" dataDxfId="40"/>
  </tableColumns>
  <tableStyleInfo name="TableStyleMedium9 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EE0ACB-1B7E-4838-B72B-49CC32EC56E6}" name="IPQC_Records" displayName="IPQC_Records" ref="A1:U2" totalsRowShown="0" headerRowDxfId="32" dataDxfId="30" headerRowBorderDxfId="31">
  <autoFilter ref="A1:U2" xr:uid="{1AEE0ACB-1B7E-4838-B72B-49CC32EC56E6}"/>
  <sortState xmlns:xlrd2="http://schemas.microsoft.com/office/spreadsheetml/2017/richdata2" ref="A2:U2">
    <sortCondition ref="A1:A2"/>
  </sortState>
  <tableColumns count="21">
    <tableColumn id="1" xr3:uid="{8FB793F8-71AB-4B29-8814-A15A371F3F60}" name="Date" dataDxfId="29"/>
    <tableColumn id="2" xr3:uid="{3273AEA3-4E71-4AFF-89F2-7BD1A1F29408}" name="No." dataDxfId="28"/>
    <tableColumn id="3" xr3:uid="{086FE431-A164-4133-AA1B-5BA44F029D54}" name="Severity" dataDxfId="27"/>
    <tableColumn id="4" xr3:uid="{5590EDDE-48B3-4BFB-9E47-5B78118D1AA1}" name="Check Item" dataDxfId="26"/>
    <tableColumn id="5" xr3:uid="{F377C232-07ED-453F-BFCC-1095CA170E51}" name="CW" dataDxfId="25"/>
    <tableColumn id="6" xr3:uid="{CE011FD0-0E71-4A05-8668-93CE0A8A49DF}" name="Month" dataDxfId="24"/>
    <tableColumn id="7" xr3:uid="{08DF49C0-5197-49D3-8558-33385CFBE621}" name="Year" dataDxfId="23"/>
    <tableColumn id="8" xr3:uid="{234DEF13-4E6E-4D0D-B641-47EA5FFD5D67}" name="Shift" dataDxfId="22"/>
    <tableColumn id="9" xr3:uid="{A2A13D45-CF57-4925-92F6-A712A1EAC1A5}" name="Line1" dataDxfId="21"/>
    <tableColumn id="10" xr3:uid="{D4A82EF9-9D78-433F-A4F8-E38B77FEA246}" name="Line2" dataDxfId="20"/>
    <tableColumn id="11" xr3:uid="{9DF67239-E634-4121-A77C-6FA224BB0FAF}" name="Line3" dataDxfId="19"/>
    <tableColumn id="12" xr3:uid="{F62135F7-B97E-48D9-ADEA-E000BCE48BBC}" name="Auditor" dataDxfId="18"/>
    <tableColumn id="13" xr3:uid="{3410CA11-E565-4754-A579-E66CC45AE904}" name="Process No" dataDxfId="17"/>
    <tableColumn id="14" xr3:uid="{5ACA90C6-2BA7-4465-B626-A7920321DA50}" name="Process Name" dataDxfId="16"/>
    <tableColumn id="15" xr3:uid="{E28C2F72-6B51-47F5-B5CB-88949C8DD4BF}" name="Additional Comments" dataDxfId="15"/>
    <tableColumn id="16" xr3:uid="{6EF5A125-F76C-4361-8DBD-7F79FB531D76}" name="Machine No." dataDxfId="14"/>
    <tableColumn id="17" xr3:uid="{D0468D3B-CFF8-42C1-9113-19891607040C}" name="Open/ Closed" dataDxfId="13"/>
    <tableColumn id="18" xr3:uid="{0990DED7-A8CB-4824-8CC7-7AD208D16C57}" name="Contact PIC" dataDxfId="12"/>
    <tableColumn id="19" xr3:uid="{7815E537-3947-495C-BDA1-36BD43752786}" name="Contact Position" dataDxfId="11"/>
    <tableColumn id="22" xr3:uid="{39274C93-8FD9-4E44-BAF3-0F9ECBB76CA3}" name="Current Status" dataDxfId="10">
      <calculatedColumnFormula array="1">IF(_xlfn.MAXIFS(IPQC_Records[Date],IPQC_Records[Open/ Closed],"CLOSED",IPQC_Records[No.],IPQC_Records[[#This Row],[No.]],IPQC_Records[Line1],IPQC_Records[[#This Row],[Line1]],IPQC_Records[Line2],IPQC_Records[[#This Row],[Line2]],IPQC_Records[Line3],IPQC_Records[[#This Row],[Line3]],IPQC_Records[Date],"&gt;="&amp;IPQC_Records[[#This Row],[Date]])=0,IF(ISNUMBER(MATCH( 1,(IPQC_Records[[#This Row],[No.]]=IPQC_Records[No.])*(IPQC_Records[[#This Row],[Line1]]=IPQC_Records[Line1])*(IPQC_Records[[#This Row],[Line2]]=IPQC_Records[Line2])*(IPQC_Records[[#This Row],[Line3]]=IPQC_Records[Line3])*(IPQC_Records[[#This Row],[Date]]&lt;IPQC_Records[Date]),0)),"Monitoring","Open"),_xlfn.MINIFS(IPQC_Records[Date],IPQC_Records[Open/ Closed],"CLOSED",IPQC_Records[No.],IPQC_Records[[#This Row],[No.]],IPQC_Records[Line1],IPQC_Records[[#This Row],[Line1]],IPQC_Records[Line2],IPQC_Records[[#This Row],[Line2]],IPQC_Records[Line3],IPQC_Records[[#This Row],[Line3]],IPQC_Records[Date],"&gt;="&amp;IPQC_Records[[#This Row],[Date]])-IPQC_Records[[#This Row],[Date]])</calculatedColumnFormula>
    </tableColumn>
    <tableColumn id="21" xr3:uid="{79331463-2A63-4B21-AA73-6593DC3981FC}" name="Occurances" dataDxfId="9">
      <calculatedColumnFormula>COUNTIFS(IPQC_Records[Date],IPQC_Records[[#This Row],[Date]],IPQC_Records[No.],IPQC_Records[[#This Row],[No.]],IPQC_Records[Line1],IPQC_Records[[#This Row],[Line1]],IPQC_Records[Line2],IPQC_Records[[#This Row],[Line2]],IPQC_Records[Line3],IPQC_Records[[#This Row],[Line3]],IPQC_Records[Machine No.],IPQC_Records[[#This Row],[Machine No.]],IPQC_Records[Auditor],IPQC_Records[[#This Row],[Auditor]])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850635-3AEC-475D-8C53-AA3CAC417591}" name="OpenIPQCItems" displayName="OpenIPQCItems" ref="A1:I27" totalsRowShown="0" headerRowDxfId="8" headerRowBorderDxfId="7" tableBorderDxfId="6">
  <autoFilter ref="A1:I27" xr:uid="{D3850635-3AEC-475D-8C53-AA3CAC417591}"/>
  <sortState xmlns:xlrd2="http://schemas.microsoft.com/office/spreadsheetml/2017/richdata2" ref="A2:I27">
    <sortCondition ref="A2:A27"/>
  </sortState>
  <tableColumns count="9">
    <tableColumn id="1" xr3:uid="{8BE4C3A5-EC0A-41B4-81AC-F19914597D32}" name="No." dataDxfId="5"/>
    <tableColumn id="2" xr3:uid="{7C1F515A-099C-415E-B2AD-9DFBB2B3837E}" name="Line1"/>
    <tableColumn id="3" xr3:uid="{7BBD3C86-ECDE-47C9-A500-3A5F789076A5}" name="Line2"/>
    <tableColumn id="4" xr3:uid="{5FAE7D41-6538-4AAB-A0C4-97C8027114EB}" name="Line3"/>
    <tableColumn id="5" xr3:uid="{033E4927-4697-46F1-B28C-FAF7C55A2407}" name="Process Name"/>
    <tableColumn id="6" xr3:uid="{37446B7A-8EC7-4185-B322-FBF629D14766}" name="Check items"/>
    <tableColumn id="7" xr3:uid="{22054761-CBD3-4079-A9D6-63C3D7EBC732}" name="Comment"/>
    <tableColumn id="8" xr3:uid="{CF51BA7C-D386-4525-9A2D-39E076FA701B}" name="Machine"/>
    <tableColumn id="9" xr3:uid="{3EBA41A2-23BD-4DF9-BE87-DC3D823DBD36}" name="Sever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chemeClr val="tx1"/>
          </a:solidFill>
        </a:ln>
      </a:spPr>
      <a:bodyPr vertOverflow="clip" horzOverflow="clip" lIns="182880" tIns="0" rIns="0" bIns="0" numCol="1" spcCol="914400" rtlCol="0" anchor="ctr"/>
      <a:lstStyle>
        <a:defPPr marL="0" algn="ctr">
          <a:spcBef>
            <a:spcPts val="300"/>
          </a:spcBef>
          <a:defRPr sz="105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10.emf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50" Type="http://schemas.openxmlformats.org/officeDocument/2006/relationships/table" Target="../tables/table1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image" Target="../media/image17.emf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image" Target="../media/image21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ontrol" Target="../activeX/activeX24.xml"/><Relationship Id="rId8" Type="http://schemas.openxmlformats.org/officeDocument/2006/relationships/control" Target="../activeX/activeX3.xml"/><Relationship Id="rId51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1B91E-17B0-466B-B4A5-AC5F438BC038}">
  <sheetPr codeName="Sheet2">
    <pageSetUpPr fitToPage="1"/>
  </sheetPr>
  <dimension ref="A1:K214"/>
  <sheetViews>
    <sheetView zoomScale="57" zoomScaleNormal="57" workbookViewId="0">
      <selection activeCell="D9" sqref="D9"/>
    </sheetView>
  </sheetViews>
  <sheetFormatPr defaultRowHeight="18"/>
  <cols>
    <col min="1" max="1" width="21.5546875" style="93" customWidth="1"/>
    <col min="2" max="2" width="9.5546875" style="135" bestFit="1" customWidth="1"/>
    <col min="3" max="3" width="21.109375" style="94" customWidth="1"/>
    <col min="4" max="4" width="74.6640625" style="95" customWidth="1"/>
    <col min="5" max="5" width="20.33203125" style="96" customWidth="1"/>
    <col min="6" max="6" width="10.6640625" customWidth="1"/>
    <col min="7" max="7" width="51.44140625" style="97" bestFit="1" customWidth="1"/>
    <col min="8" max="8" width="22.44140625" style="98" hidden="1" customWidth="1"/>
  </cols>
  <sheetData>
    <row r="1" spans="1:9" ht="23.4" thickBot="1">
      <c r="A1" s="214" t="s">
        <v>0</v>
      </c>
      <c r="B1" s="215"/>
      <c r="C1" s="215"/>
      <c r="D1" s="215"/>
      <c r="E1" s="215"/>
      <c r="F1" s="215"/>
      <c r="G1" s="215"/>
      <c r="H1" s="216"/>
      <c r="I1" s="1"/>
    </row>
    <row r="2" spans="1:9" ht="15.6" thickBot="1">
      <c r="A2" s="217" t="s">
        <v>1</v>
      </c>
      <c r="B2" s="218"/>
      <c r="C2" s="218"/>
      <c r="D2" s="218"/>
      <c r="E2" s="218"/>
      <c r="F2" s="218"/>
      <c r="G2" s="218"/>
      <c r="H2" s="2"/>
    </row>
    <row r="3" spans="1:9" ht="31.8" thickBot="1">
      <c r="A3" s="3" t="s">
        <v>2</v>
      </c>
      <c r="B3" s="4" t="s">
        <v>3</v>
      </c>
      <c r="C3" s="4" t="s">
        <v>4</v>
      </c>
      <c r="D3" s="5" t="s">
        <v>5</v>
      </c>
      <c r="E3" s="6" t="s">
        <v>6</v>
      </c>
      <c r="F3" s="5" t="s">
        <v>7</v>
      </c>
      <c r="G3" s="7" t="s">
        <v>8</v>
      </c>
      <c r="H3" s="8" t="s">
        <v>9</v>
      </c>
      <c r="I3" s="1"/>
    </row>
    <row r="4" spans="1:9" ht="45">
      <c r="A4" s="211" t="s">
        <v>10</v>
      </c>
      <c r="B4" s="126" t="s">
        <v>11</v>
      </c>
      <c r="C4" s="9" t="s">
        <v>12</v>
      </c>
      <c r="D4" s="10" t="s">
        <v>13</v>
      </c>
      <c r="E4" s="11" t="s">
        <v>14</v>
      </c>
      <c r="F4" s="12"/>
      <c r="G4" s="13"/>
      <c r="H4" s="14" t="s">
        <v>15</v>
      </c>
      <c r="I4" s="1"/>
    </row>
    <row r="5" spans="1:9" ht="45">
      <c r="A5" s="212"/>
      <c r="B5" s="127" t="s">
        <v>16</v>
      </c>
      <c r="C5" s="15" t="s">
        <v>17</v>
      </c>
      <c r="D5" s="16" t="s">
        <v>18</v>
      </c>
      <c r="E5" s="17" t="s">
        <v>19</v>
      </c>
      <c r="F5" s="18"/>
      <c r="G5" s="19"/>
      <c r="H5" s="20" t="s">
        <v>20</v>
      </c>
      <c r="I5" s="1"/>
    </row>
    <row r="6" spans="1:9" ht="30">
      <c r="A6" s="212"/>
      <c r="B6" s="127" t="s">
        <v>21</v>
      </c>
      <c r="C6" s="15" t="s">
        <v>12</v>
      </c>
      <c r="D6" s="16" t="s">
        <v>22</v>
      </c>
      <c r="E6" s="17" t="s">
        <v>19</v>
      </c>
      <c r="F6" s="18"/>
      <c r="G6" s="19"/>
      <c r="H6" s="20" t="s">
        <v>23</v>
      </c>
      <c r="I6" s="1"/>
    </row>
    <row r="7" spans="1:9" ht="30">
      <c r="A7" s="212"/>
      <c r="B7" s="127" t="s">
        <v>24</v>
      </c>
      <c r="C7" s="15" t="s">
        <v>17</v>
      </c>
      <c r="D7" s="16" t="s">
        <v>25</v>
      </c>
      <c r="E7" s="17" t="s">
        <v>19</v>
      </c>
      <c r="F7" s="18"/>
      <c r="G7" s="21"/>
      <c r="H7" s="20" t="s">
        <v>26</v>
      </c>
      <c r="I7" s="1"/>
    </row>
    <row r="8" spans="1:9" ht="30">
      <c r="A8" s="212"/>
      <c r="B8" s="127" t="s">
        <v>27</v>
      </c>
      <c r="C8" s="15" t="s">
        <v>17</v>
      </c>
      <c r="D8" s="16" t="s">
        <v>28</v>
      </c>
      <c r="E8" s="17" t="s">
        <v>19</v>
      </c>
      <c r="F8" s="18"/>
      <c r="G8" s="19"/>
      <c r="H8" s="20" t="s">
        <v>29</v>
      </c>
      <c r="I8" s="1"/>
    </row>
    <row r="9" spans="1:9" ht="30">
      <c r="A9" s="212"/>
      <c r="B9" s="127" t="s">
        <v>30</v>
      </c>
      <c r="C9" s="15" t="s">
        <v>17</v>
      </c>
      <c r="D9" s="16" t="s">
        <v>31</v>
      </c>
      <c r="E9" s="17" t="s">
        <v>32</v>
      </c>
      <c r="F9" s="18"/>
      <c r="G9" s="19"/>
      <c r="H9" s="20" t="s">
        <v>33</v>
      </c>
      <c r="I9" s="1"/>
    </row>
    <row r="10" spans="1:9" ht="30">
      <c r="A10" s="212"/>
      <c r="B10" s="127" t="s">
        <v>34</v>
      </c>
      <c r="C10" s="15" t="s">
        <v>17</v>
      </c>
      <c r="D10" s="16" t="s">
        <v>35</v>
      </c>
      <c r="E10" s="17" t="s">
        <v>32</v>
      </c>
      <c r="F10" s="18"/>
      <c r="G10" s="19"/>
      <c r="H10" s="20" t="s">
        <v>36</v>
      </c>
      <c r="I10" s="22"/>
    </row>
    <row r="11" spans="1:9" ht="60">
      <c r="A11" s="212"/>
      <c r="B11" s="127" t="s">
        <v>37</v>
      </c>
      <c r="C11" s="15" t="s">
        <v>17</v>
      </c>
      <c r="D11" s="16" t="s">
        <v>38</v>
      </c>
      <c r="E11" s="17" t="s">
        <v>32</v>
      </c>
      <c r="F11" s="18"/>
      <c r="G11" s="19" t="s">
        <v>633</v>
      </c>
      <c r="H11" s="20" t="s">
        <v>39</v>
      </c>
      <c r="I11" s="22"/>
    </row>
    <row r="12" spans="1:9" ht="45">
      <c r="A12" s="212"/>
      <c r="B12" s="127" t="s">
        <v>40</v>
      </c>
      <c r="C12" s="15" t="s">
        <v>12</v>
      </c>
      <c r="D12" s="16" t="s">
        <v>41</v>
      </c>
      <c r="E12" s="17" t="s">
        <v>19</v>
      </c>
      <c r="F12" s="18"/>
      <c r="G12" s="19"/>
      <c r="H12" s="20" t="s">
        <v>42</v>
      </c>
      <c r="I12" s="22"/>
    </row>
    <row r="13" spans="1:9" ht="30.6" thickBot="1">
      <c r="A13" s="212"/>
      <c r="B13" s="127" t="s">
        <v>623</v>
      </c>
      <c r="C13" s="15" t="s">
        <v>48</v>
      </c>
      <c r="D13" s="16" t="s">
        <v>49</v>
      </c>
      <c r="E13" s="17" t="s">
        <v>19</v>
      </c>
      <c r="F13" s="18"/>
      <c r="G13" s="102"/>
      <c r="H13" s="28" t="s">
        <v>50</v>
      </c>
      <c r="I13" s="22"/>
    </row>
    <row r="14" spans="1:9" ht="45">
      <c r="A14" s="212"/>
      <c r="B14" s="127" t="s">
        <v>43</v>
      </c>
      <c r="C14" s="50" t="s">
        <v>17</v>
      </c>
      <c r="D14" s="51" t="s">
        <v>624</v>
      </c>
      <c r="E14" s="52" t="s">
        <v>14</v>
      </c>
      <c r="F14" s="53"/>
      <c r="G14" s="54"/>
      <c r="H14" s="20" t="s">
        <v>23</v>
      </c>
      <c r="I14" s="22"/>
    </row>
    <row r="15" spans="1:9" ht="30">
      <c r="A15" s="212"/>
      <c r="B15" s="127" t="s">
        <v>44</v>
      </c>
      <c r="C15" s="15" t="s">
        <v>17</v>
      </c>
      <c r="D15" s="16" t="s">
        <v>45</v>
      </c>
      <c r="E15" s="17" t="s">
        <v>19</v>
      </c>
      <c r="F15" s="18"/>
      <c r="G15" s="19"/>
      <c r="H15" s="20" t="s">
        <v>23</v>
      </c>
      <c r="I15" s="22"/>
    </row>
    <row r="16" spans="1:9" ht="30.6" thickBot="1">
      <c r="A16" s="212"/>
      <c r="B16" s="127" t="s">
        <v>46</v>
      </c>
      <c r="C16" s="15" t="s">
        <v>47</v>
      </c>
      <c r="D16" s="16" t="s">
        <v>622</v>
      </c>
      <c r="E16" s="17" t="s">
        <v>19</v>
      </c>
      <c r="F16" s="18"/>
      <c r="G16" s="19"/>
      <c r="H16" s="20" t="s">
        <v>23</v>
      </c>
      <c r="I16" s="22"/>
    </row>
    <row r="17" spans="1:9" ht="30">
      <c r="A17" s="211" t="s">
        <v>51</v>
      </c>
      <c r="B17" s="126" t="s">
        <v>52</v>
      </c>
      <c r="C17" s="9" t="s">
        <v>17</v>
      </c>
      <c r="D17" s="10" t="s">
        <v>53</v>
      </c>
      <c r="E17" s="11" t="s">
        <v>19</v>
      </c>
      <c r="F17" s="12"/>
      <c r="G17" s="29"/>
      <c r="H17" s="30" t="s">
        <v>54</v>
      </c>
      <c r="I17" s="1"/>
    </row>
    <row r="18" spans="1:9" ht="15">
      <c r="A18" s="212"/>
      <c r="B18" s="127" t="s">
        <v>55</v>
      </c>
      <c r="C18" s="15" t="s">
        <v>12</v>
      </c>
      <c r="D18" s="16" t="s">
        <v>56</v>
      </c>
      <c r="E18" s="17" t="s">
        <v>19</v>
      </c>
      <c r="F18" s="18"/>
      <c r="G18" s="19"/>
      <c r="H18" s="20" t="s">
        <v>57</v>
      </c>
      <c r="I18" s="1"/>
    </row>
    <row r="19" spans="1:9" ht="30">
      <c r="A19" s="212"/>
      <c r="B19" s="127" t="s">
        <v>58</v>
      </c>
      <c r="C19" s="15" t="s">
        <v>12</v>
      </c>
      <c r="D19" s="16" t="s">
        <v>59</v>
      </c>
      <c r="E19" s="17" t="s">
        <v>19</v>
      </c>
      <c r="F19" s="18"/>
      <c r="G19" s="19"/>
      <c r="H19" s="20" t="s">
        <v>60</v>
      </c>
      <c r="I19" s="1"/>
    </row>
    <row r="20" spans="1:9" ht="30">
      <c r="A20" s="212"/>
      <c r="B20" s="127" t="s">
        <v>61</v>
      </c>
      <c r="C20" s="15" t="s">
        <v>17</v>
      </c>
      <c r="D20" s="16" t="s">
        <v>62</v>
      </c>
      <c r="E20" s="17" t="s">
        <v>19</v>
      </c>
      <c r="F20" s="18"/>
      <c r="G20" s="19"/>
      <c r="H20" s="20" t="s">
        <v>63</v>
      </c>
      <c r="I20" s="1"/>
    </row>
    <row r="21" spans="1:9" ht="75">
      <c r="A21" s="212"/>
      <c r="B21" s="127" t="s">
        <v>64</v>
      </c>
      <c r="C21" s="15" t="s">
        <v>12</v>
      </c>
      <c r="D21" s="16" t="s">
        <v>65</v>
      </c>
      <c r="E21" s="17" t="s">
        <v>19</v>
      </c>
      <c r="F21" s="18"/>
      <c r="G21" s="19"/>
      <c r="H21" s="20" t="s">
        <v>66</v>
      </c>
      <c r="I21" s="1"/>
    </row>
    <row r="22" spans="1:9" ht="15">
      <c r="A22" s="212"/>
      <c r="B22" s="127" t="s">
        <v>67</v>
      </c>
      <c r="C22" s="15" t="s">
        <v>17</v>
      </c>
      <c r="D22" s="16" t="s">
        <v>68</v>
      </c>
      <c r="E22" s="17" t="s">
        <v>19</v>
      </c>
      <c r="F22" s="18"/>
      <c r="G22" s="19"/>
      <c r="H22" s="20" t="s">
        <v>69</v>
      </c>
      <c r="I22" s="1"/>
    </row>
    <row r="23" spans="1:9" ht="15">
      <c r="A23" s="212"/>
      <c r="B23" s="127" t="s">
        <v>70</v>
      </c>
      <c r="C23" s="15" t="s">
        <v>17</v>
      </c>
      <c r="D23" s="16" t="s">
        <v>71</v>
      </c>
      <c r="E23" s="17" t="s">
        <v>19</v>
      </c>
      <c r="F23" s="18"/>
      <c r="G23" s="19"/>
      <c r="H23" s="20" t="s">
        <v>72</v>
      </c>
      <c r="I23" s="1"/>
    </row>
    <row r="24" spans="1:9" ht="30">
      <c r="A24" s="212"/>
      <c r="B24" s="127" t="s">
        <v>73</v>
      </c>
      <c r="C24" s="15" t="s">
        <v>17</v>
      </c>
      <c r="D24" s="16" t="s">
        <v>74</v>
      </c>
      <c r="E24" s="17" t="s">
        <v>19</v>
      </c>
      <c r="F24" s="18"/>
      <c r="G24" s="19"/>
      <c r="H24" s="20" t="s">
        <v>75</v>
      </c>
      <c r="I24" s="1"/>
    </row>
    <row r="25" spans="1:9" ht="30">
      <c r="A25" s="212"/>
      <c r="B25" s="127" t="s">
        <v>76</v>
      </c>
      <c r="C25" s="15" t="s">
        <v>17</v>
      </c>
      <c r="D25" s="16" t="s">
        <v>77</v>
      </c>
      <c r="E25" s="17" t="s">
        <v>19</v>
      </c>
      <c r="F25" s="18"/>
      <c r="G25" s="19"/>
      <c r="H25" s="20" t="s">
        <v>78</v>
      </c>
      <c r="I25" s="1"/>
    </row>
    <row r="26" spans="1:9" ht="30">
      <c r="A26" s="212"/>
      <c r="B26" s="127" t="s">
        <v>79</v>
      </c>
      <c r="C26" s="15" t="s">
        <v>12</v>
      </c>
      <c r="D26" s="16" t="s">
        <v>80</v>
      </c>
      <c r="E26" s="17" t="s">
        <v>19</v>
      </c>
      <c r="F26" s="18"/>
      <c r="G26" s="19"/>
      <c r="H26" s="20" t="s">
        <v>81</v>
      </c>
      <c r="I26" s="1"/>
    </row>
    <row r="27" spans="1:9" ht="15">
      <c r="A27" s="212"/>
      <c r="B27" s="127" t="s">
        <v>69</v>
      </c>
      <c r="C27" s="15" t="s">
        <v>12</v>
      </c>
      <c r="D27" s="16" t="s">
        <v>82</v>
      </c>
      <c r="E27" s="17" t="s">
        <v>19</v>
      </c>
      <c r="F27" s="18"/>
      <c r="G27" s="19"/>
      <c r="H27" s="20" t="s">
        <v>83</v>
      </c>
      <c r="I27" s="1"/>
    </row>
    <row r="28" spans="1:9" ht="30">
      <c r="A28" s="213"/>
      <c r="B28" s="127" t="s">
        <v>75</v>
      </c>
      <c r="C28" s="15" t="s">
        <v>17</v>
      </c>
      <c r="D28" s="16" t="s">
        <v>84</v>
      </c>
      <c r="E28" s="17" t="s">
        <v>19</v>
      </c>
      <c r="F28" s="18"/>
      <c r="G28" s="19"/>
      <c r="H28" s="20" t="s">
        <v>23</v>
      </c>
      <c r="I28" s="1"/>
    </row>
    <row r="29" spans="1:9" ht="15">
      <c r="A29" s="213"/>
      <c r="B29" s="127" t="s">
        <v>78</v>
      </c>
      <c r="C29" s="15" t="s">
        <v>17</v>
      </c>
      <c r="D29" s="16" t="s">
        <v>85</v>
      </c>
      <c r="E29" s="17" t="s">
        <v>14</v>
      </c>
      <c r="F29" s="18"/>
      <c r="G29" s="19"/>
      <c r="H29" s="20" t="s">
        <v>23</v>
      </c>
      <c r="I29" s="1"/>
    </row>
    <row r="30" spans="1:9" ht="21" thickBot="1">
      <c r="A30" s="219"/>
      <c r="B30" s="128" t="s">
        <v>81</v>
      </c>
      <c r="C30" s="23" t="s">
        <v>17</v>
      </c>
      <c r="D30" s="24" t="s">
        <v>86</v>
      </c>
      <c r="E30" s="25" t="s">
        <v>19</v>
      </c>
      <c r="F30" s="26"/>
      <c r="G30" s="27"/>
      <c r="H30" s="28" t="s">
        <v>23</v>
      </c>
      <c r="I30" s="22"/>
    </row>
    <row r="31" spans="1:9" ht="60">
      <c r="A31" s="211" t="s">
        <v>87</v>
      </c>
      <c r="B31" s="126" t="s">
        <v>88</v>
      </c>
      <c r="C31" s="9" t="s">
        <v>89</v>
      </c>
      <c r="D31" s="10" t="s">
        <v>90</v>
      </c>
      <c r="E31" s="11" t="s">
        <v>14</v>
      </c>
      <c r="F31" s="12"/>
      <c r="G31" s="29"/>
      <c r="H31" s="30" t="s">
        <v>91</v>
      </c>
      <c r="I31" s="1"/>
    </row>
    <row r="32" spans="1:9" ht="15">
      <c r="A32" s="212"/>
      <c r="B32" s="127" t="s">
        <v>92</v>
      </c>
      <c r="C32" s="15" t="s">
        <v>12</v>
      </c>
      <c r="D32" s="16" t="s">
        <v>93</v>
      </c>
      <c r="E32" s="17" t="s">
        <v>19</v>
      </c>
      <c r="F32" s="18"/>
      <c r="G32" s="19"/>
      <c r="H32" s="20" t="s">
        <v>94</v>
      </c>
      <c r="I32" s="1"/>
    </row>
    <row r="33" spans="1:9" ht="15">
      <c r="A33" s="212"/>
      <c r="B33" s="127" t="s">
        <v>95</v>
      </c>
      <c r="C33" s="15" t="s">
        <v>17</v>
      </c>
      <c r="D33" s="16" t="s">
        <v>96</v>
      </c>
      <c r="E33" s="17" t="s">
        <v>19</v>
      </c>
      <c r="F33" s="18"/>
      <c r="G33" s="19"/>
      <c r="H33" s="20" t="s">
        <v>97</v>
      </c>
      <c r="I33" s="1"/>
    </row>
    <row r="34" spans="1:9" ht="15">
      <c r="A34" s="212"/>
      <c r="B34" s="127" t="s">
        <v>98</v>
      </c>
      <c r="C34" s="15" t="s">
        <v>17</v>
      </c>
      <c r="D34" s="16" t="s">
        <v>99</v>
      </c>
      <c r="E34" s="17" t="s">
        <v>19</v>
      </c>
      <c r="F34" s="18"/>
      <c r="G34" s="19"/>
      <c r="H34" s="20" t="s">
        <v>100</v>
      </c>
      <c r="I34" s="1"/>
    </row>
    <row r="35" spans="1:9" ht="45">
      <c r="A35" s="212"/>
      <c r="B35" s="127" t="s">
        <v>101</v>
      </c>
      <c r="C35" s="15" t="s">
        <v>17</v>
      </c>
      <c r="D35" s="16" t="s">
        <v>102</v>
      </c>
      <c r="E35" s="17" t="s">
        <v>19</v>
      </c>
      <c r="F35" s="18"/>
      <c r="G35" s="19"/>
      <c r="H35" s="20" t="s">
        <v>103</v>
      </c>
      <c r="I35" s="22"/>
    </row>
    <row r="36" spans="1:9" ht="20.399999999999999">
      <c r="A36" s="212"/>
      <c r="B36" s="127" t="s">
        <v>104</v>
      </c>
      <c r="C36" s="15" t="s">
        <v>17</v>
      </c>
      <c r="D36" s="16" t="s">
        <v>105</v>
      </c>
      <c r="E36" s="17" t="s">
        <v>19</v>
      </c>
      <c r="F36" s="18"/>
      <c r="G36" s="19"/>
      <c r="H36" s="20" t="s">
        <v>23</v>
      </c>
      <c r="I36" s="22"/>
    </row>
    <row r="37" spans="1:9" ht="20.399999999999999">
      <c r="A37" s="212"/>
      <c r="B37" s="127" t="s">
        <v>106</v>
      </c>
      <c r="C37" s="15" t="s">
        <v>17</v>
      </c>
      <c r="D37" s="16" t="s">
        <v>107</v>
      </c>
      <c r="E37" s="17" t="s">
        <v>19</v>
      </c>
      <c r="F37" s="18"/>
      <c r="G37" s="19"/>
      <c r="H37" s="20" t="s">
        <v>23</v>
      </c>
      <c r="I37" s="22"/>
    </row>
    <row r="38" spans="1:9" ht="30">
      <c r="A38" s="212"/>
      <c r="B38" s="127" t="s">
        <v>108</v>
      </c>
      <c r="C38" s="15" t="s">
        <v>17</v>
      </c>
      <c r="D38" s="16" t="s">
        <v>109</v>
      </c>
      <c r="E38" s="17" t="s">
        <v>19</v>
      </c>
      <c r="F38" s="18"/>
      <c r="G38" s="19"/>
      <c r="H38" s="20" t="s">
        <v>23</v>
      </c>
      <c r="I38" s="22"/>
    </row>
    <row r="39" spans="1:9" ht="21" thickBot="1">
      <c r="A39" s="213"/>
      <c r="B39" s="129" t="s">
        <v>110</v>
      </c>
      <c r="C39" s="31" t="s">
        <v>17</v>
      </c>
      <c r="D39" s="32" t="s">
        <v>111</v>
      </c>
      <c r="E39" s="33" t="s">
        <v>19</v>
      </c>
      <c r="F39" s="34"/>
      <c r="G39" s="35"/>
      <c r="H39" s="36" t="s">
        <v>23</v>
      </c>
      <c r="I39" s="22"/>
    </row>
    <row r="40" spans="1:9" ht="45">
      <c r="A40" s="211" t="s">
        <v>112</v>
      </c>
      <c r="B40" s="126" t="s">
        <v>113</v>
      </c>
      <c r="C40" s="9" t="s">
        <v>17</v>
      </c>
      <c r="D40" s="10" t="s">
        <v>114</v>
      </c>
      <c r="E40" s="11" t="s">
        <v>14</v>
      </c>
      <c r="F40" s="12"/>
      <c r="G40" s="29"/>
      <c r="H40" s="30" t="s">
        <v>115</v>
      </c>
      <c r="I40" s="1"/>
    </row>
    <row r="41" spans="1:9" ht="45">
      <c r="A41" s="212"/>
      <c r="B41" s="127" t="s">
        <v>116</v>
      </c>
      <c r="C41" s="15" t="s">
        <v>12</v>
      </c>
      <c r="D41" s="16" t="s">
        <v>117</v>
      </c>
      <c r="E41" s="17" t="s">
        <v>19</v>
      </c>
      <c r="F41" s="18"/>
      <c r="G41" s="19"/>
      <c r="H41" s="20" t="s">
        <v>118</v>
      </c>
      <c r="I41" s="1"/>
    </row>
    <row r="42" spans="1:9" ht="30">
      <c r="A42" s="212"/>
      <c r="B42" s="127" t="s">
        <v>119</v>
      </c>
      <c r="C42" s="15" t="s">
        <v>17</v>
      </c>
      <c r="D42" s="16" t="s">
        <v>120</v>
      </c>
      <c r="E42" s="17" t="s">
        <v>19</v>
      </c>
      <c r="F42" s="18"/>
      <c r="G42" s="19"/>
      <c r="H42" s="20" t="s">
        <v>121</v>
      </c>
      <c r="I42" s="1"/>
    </row>
    <row r="43" spans="1:9" ht="45">
      <c r="A43" s="212"/>
      <c r="B43" s="127" t="s">
        <v>122</v>
      </c>
      <c r="C43" s="15" t="s">
        <v>17</v>
      </c>
      <c r="D43" s="16" t="s">
        <v>123</v>
      </c>
      <c r="E43" s="17" t="s">
        <v>19</v>
      </c>
      <c r="F43" s="18"/>
      <c r="G43" s="19"/>
      <c r="H43" s="20" t="s">
        <v>124</v>
      </c>
      <c r="I43" s="1"/>
    </row>
    <row r="44" spans="1:9" ht="45" customHeight="1">
      <c r="A44" s="212"/>
      <c r="B44" s="127" t="s">
        <v>125</v>
      </c>
      <c r="C44" s="15" t="s">
        <v>12</v>
      </c>
      <c r="D44" s="16" t="s">
        <v>126</v>
      </c>
      <c r="E44" s="17" t="s">
        <v>19</v>
      </c>
      <c r="F44" s="18"/>
      <c r="G44" s="19"/>
      <c r="H44" s="20" t="s">
        <v>127</v>
      </c>
      <c r="I44" s="1"/>
    </row>
    <row r="45" spans="1:9" ht="45">
      <c r="A45" s="212"/>
      <c r="B45" s="127" t="s">
        <v>128</v>
      </c>
      <c r="C45" s="15" t="s">
        <v>12</v>
      </c>
      <c r="D45" s="16" t="s">
        <v>129</v>
      </c>
      <c r="E45" s="17" t="s">
        <v>19</v>
      </c>
      <c r="F45" s="18"/>
      <c r="G45" s="19"/>
      <c r="H45" s="20" t="s">
        <v>130</v>
      </c>
      <c r="I45" s="1"/>
    </row>
    <row r="46" spans="1:9" ht="30">
      <c r="A46" s="212"/>
      <c r="B46" s="127" t="s">
        <v>131</v>
      </c>
      <c r="C46" s="15" t="s">
        <v>17</v>
      </c>
      <c r="D46" s="16" t="s">
        <v>132</v>
      </c>
      <c r="E46" s="17" t="s">
        <v>19</v>
      </c>
      <c r="F46" s="18"/>
      <c r="G46" s="19" t="s">
        <v>133</v>
      </c>
      <c r="H46" s="20" t="s">
        <v>134</v>
      </c>
      <c r="I46" s="1"/>
    </row>
    <row r="47" spans="1:9" ht="15">
      <c r="A47" s="212"/>
      <c r="B47" s="127" t="s">
        <v>135</v>
      </c>
      <c r="C47" s="15" t="s">
        <v>17</v>
      </c>
      <c r="D47" s="16" t="s">
        <v>136</v>
      </c>
      <c r="E47" s="17" t="s">
        <v>19</v>
      </c>
      <c r="F47" s="18"/>
      <c r="G47" s="19"/>
      <c r="H47" s="20" t="s">
        <v>137</v>
      </c>
      <c r="I47" s="1"/>
    </row>
    <row r="48" spans="1:9" ht="45">
      <c r="A48" s="212"/>
      <c r="B48" s="127" t="s">
        <v>138</v>
      </c>
      <c r="C48" s="15" t="s">
        <v>17</v>
      </c>
      <c r="D48" s="16" t="s">
        <v>139</v>
      </c>
      <c r="E48" s="17" t="s">
        <v>19</v>
      </c>
      <c r="F48" s="18"/>
      <c r="G48" s="19"/>
      <c r="H48" s="20" t="s">
        <v>140</v>
      </c>
      <c r="I48" s="1"/>
    </row>
    <row r="49" spans="1:9" ht="15">
      <c r="A49" s="212"/>
      <c r="B49" s="127" t="s">
        <v>141</v>
      </c>
      <c r="C49" s="15" t="s">
        <v>12</v>
      </c>
      <c r="D49" s="16" t="s">
        <v>142</v>
      </c>
      <c r="E49" s="17" t="s">
        <v>19</v>
      </c>
      <c r="F49" s="18"/>
      <c r="G49" s="19"/>
      <c r="H49" s="20" t="s">
        <v>143</v>
      </c>
      <c r="I49" s="1"/>
    </row>
    <row r="50" spans="1:9" ht="45">
      <c r="A50" s="213"/>
      <c r="B50" s="127" t="s">
        <v>134</v>
      </c>
      <c r="C50" s="15" t="s">
        <v>89</v>
      </c>
      <c r="D50" s="16" t="s">
        <v>144</v>
      </c>
      <c r="E50" s="17" t="s">
        <v>19</v>
      </c>
      <c r="F50" s="18"/>
      <c r="G50" s="19"/>
      <c r="H50" s="20" t="s">
        <v>145</v>
      </c>
      <c r="I50" s="1"/>
    </row>
    <row r="51" spans="1:9" ht="30">
      <c r="A51" s="213"/>
      <c r="B51" s="130" t="s">
        <v>137</v>
      </c>
      <c r="C51" s="37" t="s">
        <v>17</v>
      </c>
      <c r="D51" s="38" t="s">
        <v>146</v>
      </c>
      <c r="E51" s="39" t="s">
        <v>19</v>
      </c>
      <c r="F51" s="40"/>
      <c r="G51" s="41"/>
      <c r="H51" s="42" t="s">
        <v>23</v>
      </c>
      <c r="I51" s="1"/>
    </row>
    <row r="52" spans="1:9" ht="30">
      <c r="A52" s="213"/>
      <c r="B52" s="127" t="s">
        <v>140</v>
      </c>
      <c r="C52" s="15" t="s">
        <v>17</v>
      </c>
      <c r="D52" s="16" t="s">
        <v>147</v>
      </c>
      <c r="E52" s="17" t="s">
        <v>19</v>
      </c>
      <c r="F52" s="18"/>
      <c r="G52" s="19"/>
      <c r="H52" s="20" t="s">
        <v>23</v>
      </c>
      <c r="I52" s="1"/>
    </row>
    <row r="53" spans="1:9" ht="15">
      <c r="A53" s="213"/>
      <c r="B53" s="127" t="s">
        <v>148</v>
      </c>
      <c r="C53" s="15" t="s">
        <v>17</v>
      </c>
      <c r="D53" s="16" t="s">
        <v>149</v>
      </c>
      <c r="E53" s="17" t="s">
        <v>14</v>
      </c>
      <c r="F53" s="18"/>
      <c r="G53" s="19"/>
      <c r="H53" s="20" t="s">
        <v>23</v>
      </c>
      <c r="I53" s="1"/>
    </row>
    <row r="54" spans="1:9" ht="45.6" thickBot="1">
      <c r="A54" s="213"/>
      <c r="B54" s="130" t="s">
        <v>150</v>
      </c>
      <c r="C54" s="37" t="s">
        <v>17</v>
      </c>
      <c r="D54" s="32" t="s">
        <v>151</v>
      </c>
      <c r="E54" s="39" t="s">
        <v>19</v>
      </c>
      <c r="F54" s="40"/>
      <c r="G54" s="41"/>
      <c r="H54" s="42" t="s">
        <v>23</v>
      </c>
      <c r="I54" s="1"/>
    </row>
    <row r="55" spans="1:9" ht="30">
      <c r="A55" s="220" t="s">
        <v>152</v>
      </c>
      <c r="B55" s="126" t="s">
        <v>153</v>
      </c>
      <c r="C55" s="9" t="s">
        <v>17</v>
      </c>
      <c r="D55" s="10" t="s">
        <v>154</v>
      </c>
      <c r="E55" s="11" t="s">
        <v>19</v>
      </c>
      <c r="F55" s="12"/>
      <c r="G55" s="29"/>
      <c r="H55" s="30" t="s">
        <v>155</v>
      </c>
      <c r="I55" s="1"/>
    </row>
    <row r="56" spans="1:9" ht="15.6" thickBot="1">
      <c r="A56" s="221"/>
      <c r="B56" s="131" t="s">
        <v>156</v>
      </c>
      <c r="C56" s="23" t="s">
        <v>12</v>
      </c>
      <c r="D56" s="24" t="s">
        <v>157</v>
      </c>
      <c r="E56" s="25" t="s">
        <v>19</v>
      </c>
      <c r="F56" s="26"/>
      <c r="G56" s="27"/>
      <c r="H56" s="28" t="s">
        <v>158</v>
      </c>
      <c r="I56" s="1"/>
    </row>
    <row r="57" spans="1:9" ht="45">
      <c r="A57" s="222" t="s">
        <v>159</v>
      </c>
      <c r="B57" s="130" t="s">
        <v>160</v>
      </c>
      <c r="C57" s="37" t="s">
        <v>17</v>
      </c>
      <c r="D57" s="38" t="s">
        <v>161</v>
      </c>
      <c r="E57" s="39" t="s">
        <v>19</v>
      </c>
      <c r="F57" s="40"/>
      <c r="G57" s="41"/>
      <c r="H57" s="42" t="s">
        <v>79</v>
      </c>
      <c r="I57" s="1"/>
    </row>
    <row r="58" spans="1:9" ht="30">
      <c r="A58" s="223"/>
      <c r="B58" s="127" t="s">
        <v>162</v>
      </c>
      <c r="C58" s="15" t="s">
        <v>12</v>
      </c>
      <c r="D58" s="16" t="s">
        <v>163</v>
      </c>
      <c r="E58" s="17" t="s">
        <v>19</v>
      </c>
      <c r="F58" s="18"/>
      <c r="G58" s="19"/>
      <c r="H58" s="20" t="s">
        <v>164</v>
      </c>
      <c r="I58" s="43"/>
    </row>
    <row r="59" spans="1:9" ht="45">
      <c r="A59" s="223"/>
      <c r="B59" s="127" t="s">
        <v>165</v>
      </c>
      <c r="C59" s="15" t="s">
        <v>17</v>
      </c>
      <c r="D59" s="16" t="s">
        <v>166</v>
      </c>
      <c r="E59" s="17" t="s">
        <v>19</v>
      </c>
      <c r="F59" s="18"/>
      <c r="G59" s="19"/>
      <c r="H59" s="20" t="s">
        <v>167</v>
      </c>
      <c r="I59" s="43"/>
    </row>
    <row r="60" spans="1:9" ht="15">
      <c r="A60" s="223"/>
      <c r="B60" s="127" t="s">
        <v>168</v>
      </c>
      <c r="C60" s="15" t="s">
        <v>17</v>
      </c>
      <c r="D60" s="16" t="s">
        <v>169</v>
      </c>
      <c r="E60" s="17" t="s">
        <v>19</v>
      </c>
      <c r="F60" s="18"/>
      <c r="G60" s="19"/>
      <c r="H60" s="20" t="s">
        <v>170</v>
      </c>
      <c r="I60" s="43"/>
    </row>
    <row r="61" spans="1:9" ht="30">
      <c r="A61" s="223"/>
      <c r="B61" s="127" t="s">
        <v>171</v>
      </c>
      <c r="C61" s="15" t="s">
        <v>17</v>
      </c>
      <c r="D61" s="16" t="s">
        <v>172</v>
      </c>
      <c r="E61" s="17" t="s">
        <v>19</v>
      </c>
      <c r="F61" s="18"/>
      <c r="G61" s="19"/>
      <c r="H61" s="20" t="s">
        <v>173</v>
      </c>
      <c r="I61" s="43"/>
    </row>
    <row r="62" spans="1:9" ht="15.6" thickBot="1">
      <c r="A62" s="219"/>
      <c r="B62" s="127" t="s">
        <v>174</v>
      </c>
      <c r="C62" s="44" t="s">
        <v>12</v>
      </c>
      <c r="D62" s="45" t="s">
        <v>175</v>
      </c>
      <c r="E62" s="46" t="s">
        <v>19</v>
      </c>
      <c r="F62" s="47"/>
      <c r="G62" s="48"/>
      <c r="H62" s="49" t="s">
        <v>23</v>
      </c>
      <c r="I62" s="1"/>
    </row>
    <row r="63" spans="1:9" ht="60">
      <c r="A63" s="211" t="s">
        <v>176</v>
      </c>
      <c r="B63" s="126" t="s">
        <v>177</v>
      </c>
      <c r="C63" s="9" t="s">
        <v>17</v>
      </c>
      <c r="D63" s="10" t="s">
        <v>178</v>
      </c>
      <c r="E63" s="11" t="s">
        <v>19</v>
      </c>
      <c r="F63" s="12"/>
      <c r="G63" s="29"/>
      <c r="H63" s="30" t="s">
        <v>179</v>
      </c>
      <c r="I63" s="1"/>
    </row>
    <row r="64" spans="1:9" ht="30">
      <c r="A64" s="212"/>
      <c r="B64" s="127" t="s">
        <v>180</v>
      </c>
      <c r="C64" s="15" t="s">
        <v>17</v>
      </c>
      <c r="D64" s="16" t="s">
        <v>181</v>
      </c>
      <c r="E64" s="17" t="s">
        <v>19</v>
      </c>
      <c r="F64" s="18"/>
      <c r="G64" s="19"/>
      <c r="H64" s="20" t="s">
        <v>182</v>
      </c>
      <c r="I64" s="1"/>
    </row>
    <row r="65" spans="1:9" ht="15">
      <c r="A65" s="213"/>
      <c r="B65" s="129" t="s">
        <v>183</v>
      </c>
      <c r="C65" s="31" t="s">
        <v>12</v>
      </c>
      <c r="D65" s="32" t="s">
        <v>184</v>
      </c>
      <c r="E65" s="33" t="s">
        <v>19</v>
      </c>
      <c r="F65" s="34"/>
      <c r="G65" s="35"/>
      <c r="H65" s="36" t="s">
        <v>23</v>
      </c>
      <c r="I65" s="1"/>
    </row>
    <row r="66" spans="1:9" ht="30">
      <c r="A66" s="213"/>
      <c r="B66" s="129" t="s">
        <v>185</v>
      </c>
      <c r="C66" s="31" t="s">
        <v>17</v>
      </c>
      <c r="D66" s="32" t="s">
        <v>186</v>
      </c>
      <c r="E66" s="33" t="s">
        <v>19</v>
      </c>
      <c r="F66" s="34"/>
      <c r="G66" s="35"/>
      <c r="H66" s="36" t="s">
        <v>23</v>
      </c>
      <c r="I66" s="1"/>
    </row>
    <row r="67" spans="1:9" ht="15">
      <c r="A67" s="213"/>
      <c r="B67" s="129" t="s">
        <v>187</v>
      </c>
      <c r="C67" s="31" t="s">
        <v>17</v>
      </c>
      <c r="D67" s="32" t="s">
        <v>188</v>
      </c>
      <c r="E67" s="33" t="s">
        <v>14</v>
      </c>
      <c r="F67" s="34"/>
      <c r="G67" s="35" t="s">
        <v>189</v>
      </c>
      <c r="H67" s="36" t="s">
        <v>23</v>
      </c>
      <c r="I67" s="1"/>
    </row>
    <row r="68" spans="1:9" ht="30.6" thickBot="1">
      <c r="A68" s="219"/>
      <c r="B68" s="128" t="s">
        <v>190</v>
      </c>
      <c r="C68" s="23" t="s">
        <v>48</v>
      </c>
      <c r="D68" s="24" t="s">
        <v>191</v>
      </c>
      <c r="E68" s="25" t="s">
        <v>14</v>
      </c>
      <c r="F68" s="26"/>
      <c r="G68" s="27"/>
      <c r="H68" s="28" t="s">
        <v>50</v>
      </c>
      <c r="I68" s="1"/>
    </row>
    <row r="69" spans="1:9" ht="30">
      <c r="A69" s="211" t="s">
        <v>192</v>
      </c>
      <c r="B69" s="126" t="s">
        <v>193</v>
      </c>
      <c r="C69" s="9" t="s">
        <v>89</v>
      </c>
      <c r="D69" s="10" t="s">
        <v>194</v>
      </c>
      <c r="E69" s="11" t="s">
        <v>19</v>
      </c>
      <c r="F69" s="12"/>
      <c r="G69" s="29"/>
      <c r="H69" s="30" t="s">
        <v>195</v>
      </c>
      <c r="I69" s="1"/>
    </row>
    <row r="70" spans="1:9" ht="45.6" thickBot="1">
      <c r="A70" s="219"/>
      <c r="B70" s="128" t="s">
        <v>196</v>
      </c>
      <c r="C70" s="23" t="s">
        <v>12</v>
      </c>
      <c r="D70" s="24" t="s">
        <v>197</v>
      </c>
      <c r="E70" s="25" t="s">
        <v>19</v>
      </c>
      <c r="F70" s="26"/>
      <c r="G70" s="27"/>
      <c r="H70" s="28" t="s">
        <v>198</v>
      </c>
      <c r="I70" s="1"/>
    </row>
    <row r="71" spans="1:9" ht="45">
      <c r="A71" s="211" t="s">
        <v>199</v>
      </c>
      <c r="B71" s="126" t="s">
        <v>200</v>
      </c>
      <c r="C71" s="9" t="s">
        <v>89</v>
      </c>
      <c r="D71" s="10" t="s">
        <v>201</v>
      </c>
      <c r="E71" s="11" t="s">
        <v>14</v>
      </c>
      <c r="F71" s="12"/>
      <c r="G71" s="29"/>
      <c r="H71" s="30" t="s">
        <v>202</v>
      </c>
      <c r="I71" s="1"/>
    </row>
    <row r="72" spans="1:9" ht="30">
      <c r="A72" s="212"/>
      <c r="B72" s="127" t="s">
        <v>203</v>
      </c>
      <c r="C72" s="15" t="s">
        <v>89</v>
      </c>
      <c r="D72" s="16" t="s">
        <v>204</v>
      </c>
      <c r="E72" s="17" t="s">
        <v>19</v>
      </c>
      <c r="F72" s="18"/>
      <c r="G72" s="19"/>
      <c r="H72" s="20" t="s">
        <v>205</v>
      </c>
      <c r="I72" s="1"/>
    </row>
    <row r="73" spans="1:9" ht="30">
      <c r="A73" s="213"/>
      <c r="B73" s="127" t="s">
        <v>206</v>
      </c>
      <c r="C73" s="15" t="s">
        <v>89</v>
      </c>
      <c r="D73" s="16" t="s">
        <v>207</v>
      </c>
      <c r="E73" s="17" t="s">
        <v>19</v>
      </c>
      <c r="F73" s="18"/>
      <c r="G73" s="19"/>
      <c r="H73" s="20" t="s">
        <v>208</v>
      </c>
      <c r="I73" s="1"/>
    </row>
    <row r="74" spans="1:9" ht="30">
      <c r="A74" s="213"/>
      <c r="B74" s="127" t="s">
        <v>209</v>
      </c>
      <c r="C74" s="15" t="s">
        <v>17</v>
      </c>
      <c r="D74" s="16" t="s">
        <v>210</v>
      </c>
      <c r="E74" s="17" t="s">
        <v>14</v>
      </c>
      <c r="F74" s="18"/>
      <c r="G74" s="19"/>
      <c r="H74" s="20" t="s">
        <v>23</v>
      </c>
      <c r="I74" s="1"/>
    </row>
    <row r="75" spans="1:9" ht="30.6" thickBot="1">
      <c r="A75" s="219"/>
      <c r="B75" s="132" t="s">
        <v>211</v>
      </c>
      <c r="C75" s="44" t="s">
        <v>17</v>
      </c>
      <c r="D75" s="45" t="s">
        <v>212</v>
      </c>
      <c r="E75" s="46" t="s">
        <v>32</v>
      </c>
      <c r="F75" s="47"/>
      <c r="G75" s="48"/>
      <c r="H75" s="49" t="s">
        <v>23</v>
      </c>
      <c r="I75" s="1"/>
    </row>
    <row r="76" spans="1:9" ht="60">
      <c r="A76" s="211" t="s">
        <v>213</v>
      </c>
      <c r="B76" s="126" t="s">
        <v>214</v>
      </c>
      <c r="C76" s="9" t="s">
        <v>12</v>
      </c>
      <c r="D76" s="10" t="s">
        <v>215</v>
      </c>
      <c r="E76" s="11" t="s">
        <v>19</v>
      </c>
      <c r="F76" s="12"/>
      <c r="G76" s="29"/>
      <c r="H76" s="30" t="s">
        <v>216</v>
      </c>
      <c r="I76" s="1"/>
    </row>
    <row r="77" spans="1:9" ht="15">
      <c r="A77" s="212"/>
      <c r="B77" s="127" t="s">
        <v>217</v>
      </c>
      <c r="C77" s="15" t="s">
        <v>17</v>
      </c>
      <c r="D77" s="16" t="s">
        <v>218</v>
      </c>
      <c r="E77" s="17" t="s">
        <v>19</v>
      </c>
      <c r="F77" s="18"/>
      <c r="G77" s="19"/>
      <c r="H77" s="20" t="s">
        <v>219</v>
      </c>
      <c r="I77" s="1"/>
    </row>
    <row r="78" spans="1:9" ht="60">
      <c r="A78" s="212"/>
      <c r="B78" s="127" t="s">
        <v>220</v>
      </c>
      <c r="C78" s="15" t="s">
        <v>17</v>
      </c>
      <c r="D78" s="16" t="s">
        <v>221</v>
      </c>
      <c r="E78" s="17" t="s">
        <v>19</v>
      </c>
      <c r="F78" s="18"/>
      <c r="G78" s="19" t="s">
        <v>222</v>
      </c>
      <c r="H78" s="20" t="s">
        <v>223</v>
      </c>
      <c r="I78" s="1"/>
    </row>
    <row r="79" spans="1:9" ht="30">
      <c r="A79" s="212"/>
      <c r="B79" s="127" t="s">
        <v>224</v>
      </c>
      <c r="C79" s="15" t="s">
        <v>17</v>
      </c>
      <c r="D79" s="16" t="s">
        <v>225</v>
      </c>
      <c r="E79" s="17" t="s">
        <v>19</v>
      </c>
      <c r="F79" s="18"/>
      <c r="G79" s="19"/>
      <c r="H79" s="20" t="s">
        <v>226</v>
      </c>
      <c r="I79" s="1"/>
    </row>
    <row r="80" spans="1:9" ht="45">
      <c r="A80" s="212"/>
      <c r="B80" s="127" t="s">
        <v>227</v>
      </c>
      <c r="C80" s="15" t="s">
        <v>12</v>
      </c>
      <c r="D80" s="16" t="s">
        <v>228</v>
      </c>
      <c r="E80" s="17" t="s">
        <v>19</v>
      </c>
      <c r="F80" s="18"/>
      <c r="G80" s="19"/>
      <c r="H80" s="20" t="s">
        <v>229</v>
      </c>
      <c r="I80" s="1"/>
    </row>
    <row r="81" spans="1:9" ht="60">
      <c r="A81" s="212"/>
      <c r="B81" s="127" t="s">
        <v>230</v>
      </c>
      <c r="C81" s="15" t="s">
        <v>17</v>
      </c>
      <c r="D81" s="16" t="s">
        <v>231</v>
      </c>
      <c r="E81" s="17" t="s">
        <v>19</v>
      </c>
      <c r="F81" s="18"/>
      <c r="G81" s="19"/>
      <c r="H81" s="20" t="s">
        <v>232</v>
      </c>
      <c r="I81" s="1"/>
    </row>
    <row r="82" spans="1:9" ht="28.8">
      <c r="A82" s="212"/>
      <c r="B82" s="127" t="s">
        <v>233</v>
      </c>
      <c r="C82" s="15" t="s">
        <v>17</v>
      </c>
      <c r="D82" s="16" t="s">
        <v>234</v>
      </c>
      <c r="E82" s="17" t="s">
        <v>19</v>
      </c>
      <c r="F82" s="18"/>
      <c r="G82" s="19"/>
      <c r="H82" s="20" t="s">
        <v>235</v>
      </c>
      <c r="I82" s="1"/>
    </row>
    <row r="83" spans="1:9" ht="15">
      <c r="A83" s="212"/>
      <c r="B83" s="127" t="s">
        <v>236</v>
      </c>
      <c r="C83" s="15" t="s">
        <v>17</v>
      </c>
      <c r="D83" s="16" t="s">
        <v>237</v>
      </c>
      <c r="E83" s="17" t="s">
        <v>19</v>
      </c>
      <c r="F83" s="18"/>
      <c r="G83" s="19"/>
      <c r="H83" s="20" t="s">
        <v>23</v>
      </c>
      <c r="I83" s="1"/>
    </row>
    <row r="84" spans="1:9" ht="45">
      <c r="A84" s="213"/>
      <c r="B84" s="129" t="s">
        <v>238</v>
      </c>
      <c r="C84" s="31" t="s">
        <v>12</v>
      </c>
      <c r="D84" s="32" t="s">
        <v>239</v>
      </c>
      <c r="E84" s="33" t="s">
        <v>19</v>
      </c>
      <c r="F84" s="34"/>
      <c r="G84" s="35"/>
      <c r="H84" s="36" t="s">
        <v>23</v>
      </c>
      <c r="I84" s="1"/>
    </row>
    <row r="85" spans="1:9" ht="15">
      <c r="A85" s="213"/>
      <c r="B85" s="127" t="s">
        <v>240</v>
      </c>
      <c r="C85" s="31" t="s">
        <v>17</v>
      </c>
      <c r="D85" s="32" t="s">
        <v>241</v>
      </c>
      <c r="E85" s="33" t="s">
        <v>14</v>
      </c>
      <c r="F85" s="34"/>
      <c r="G85" s="35"/>
      <c r="H85" s="36" t="s">
        <v>23</v>
      </c>
      <c r="I85" s="1"/>
    </row>
    <row r="86" spans="1:9" ht="30">
      <c r="A86" s="213"/>
      <c r="B86" s="127" t="s">
        <v>242</v>
      </c>
      <c r="C86" s="31" t="s">
        <v>12</v>
      </c>
      <c r="D86" s="32" t="s">
        <v>243</v>
      </c>
      <c r="E86" s="33" t="s">
        <v>19</v>
      </c>
      <c r="F86" s="34"/>
      <c r="G86" s="35"/>
      <c r="H86" s="36" t="s">
        <v>23</v>
      </c>
      <c r="I86" s="1"/>
    </row>
    <row r="87" spans="1:9" ht="15">
      <c r="A87" s="213"/>
      <c r="B87" s="127" t="s">
        <v>244</v>
      </c>
      <c r="C87" s="31" t="s">
        <v>12</v>
      </c>
      <c r="D87" s="32" t="s">
        <v>245</v>
      </c>
      <c r="E87" s="33" t="s">
        <v>19</v>
      </c>
      <c r="F87" s="34"/>
      <c r="G87" s="35"/>
      <c r="H87" s="36" t="s">
        <v>23</v>
      </c>
      <c r="I87" s="1"/>
    </row>
    <row r="88" spans="1:9" ht="30.6" thickBot="1">
      <c r="A88" s="213"/>
      <c r="B88" s="129" t="s">
        <v>246</v>
      </c>
      <c r="C88" s="31" t="s">
        <v>17</v>
      </c>
      <c r="D88" s="32" t="s">
        <v>247</v>
      </c>
      <c r="E88" s="33" t="s">
        <v>19</v>
      </c>
      <c r="F88" s="34"/>
      <c r="G88" s="35"/>
      <c r="H88" s="36" t="s">
        <v>23</v>
      </c>
      <c r="I88" s="1"/>
    </row>
    <row r="89" spans="1:9" ht="45">
      <c r="A89" s="211" t="s">
        <v>248</v>
      </c>
      <c r="B89" s="126" t="s">
        <v>249</v>
      </c>
      <c r="C89" s="9" t="s">
        <v>17</v>
      </c>
      <c r="D89" s="10" t="s">
        <v>250</v>
      </c>
      <c r="E89" s="11" t="s">
        <v>19</v>
      </c>
      <c r="F89" s="12"/>
      <c r="G89" s="99"/>
      <c r="H89" s="30" t="s">
        <v>251</v>
      </c>
      <c r="I89" s="1"/>
    </row>
    <row r="90" spans="1:9" ht="45">
      <c r="A90" s="212"/>
      <c r="B90" s="132" t="s">
        <v>252</v>
      </c>
      <c r="C90" s="50" t="s">
        <v>17</v>
      </c>
      <c r="D90" s="51" t="s">
        <v>253</v>
      </c>
      <c r="E90" s="52" t="s">
        <v>14</v>
      </c>
      <c r="F90" s="53"/>
      <c r="G90" s="100"/>
      <c r="H90" s="55" t="s">
        <v>254</v>
      </c>
      <c r="I90" s="1"/>
    </row>
    <row r="91" spans="1:9" ht="30">
      <c r="A91" s="212"/>
      <c r="B91" s="127" t="s">
        <v>255</v>
      </c>
      <c r="C91" s="15" t="s">
        <v>17</v>
      </c>
      <c r="D91" s="16" t="s">
        <v>256</v>
      </c>
      <c r="E91" s="17" t="s">
        <v>14</v>
      </c>
      <c r="F91" s="18"/>
      <c r="G91" s="101" t="s">
        <v>257</v>
      </c>
      <c r="H91" s="56" t="s">
        <v>258</v>
      </c>
      <c r="I91" s="1"/>
    </row>
    <row r="92" spans="1:9" ht="60">
      <c r="A92" s="212"/>
      <c r="B92" s="127" t="s">
        <v>259</v>
      </c>
      <c r="C92" s="15" t="s">
        <v>89</v>
      </c>
      <c r="D92" s="16" t="s">
        <v>260</v>
      </c>
      <c r="E92" s="17" t="s">
        <v>19</v>
      </c>
      <c r="F92" s="18"/>
      <c r="G92" s="101"/>
      <c r="H92" s="56" t="s">
        <v>261</v>
      </c>
      <c r="I92" s="1"/>
    </row>
    <row r="93" spans="1:9" ht="15">
      <c r="A93" s="212"/>
      <c r="B93" s="127" t="s">
        <v>262</v>
      </c>
      <c r="C93" s="15" t="s">
        <v>17</v>
      </c>
      <c r="D93" s="16" t="s">
        <v>626</v>
      </c>
      <c r="E93" s="17" t="s">
        <v>19</v>
      </c>
      <c r="F93" s="18"/>
      <c r="G93" s="102"/>
      <c r="H93" s="20" t="s">
        <v>263</v>
      </c>
      <c r="I93" s="1"/>
    </row>
    <row r="94" spans="1:9" ht="45">
      <c r="A94" s="212"/>
      <c r="B94" s="127" t="s">
        <v>264</v>
      </c>
      <c r="C94" s="15" t="s">
        <v>89</v>
      </c>
      <c r="D94" s="16" t="s">
        <v>265</v>
      </c>
      <c r="E94" s="17" t="s">
        <v>19</v>
      </c>
      <c r="F94" s="18"/>
      <c r="G94" s="102"/>
      <c r="H94" s="20" t="s">
        <v>266</v>
      </c>
      <c r="I94" s="1"/>
    </row>
    <row r="95" spans="1:9" ht="45">
      <c r="A95" s="212"/>
      <c r="B95" s="127" t="s">
        <v>267</v>
      </c>
      <c r="C95" s="15" t="s">
        <v>17</v>
      </c>
      <c r="D95" s="16" t="s">
        <v>268</v>
      </c>
      <c r="E95" s="17" t="s">
        <v>19</v>
      </c>
      <c r="F95" s="18"/>
      <c r="G95" s="102"/>
      <c r="H95" s="20" t="s">
        <v>269</v>
      </c>
      <c r="I95" s="1"/>
    </row>
    <row r="96" spans="1:9" ht="58.8">
      <c r="A96" s="212"/>
      <c r="B96" s="127" t="s">
        <v>270</v>
      </c>
      <c r="C96" s="15" t="s">
        <v>12</v>
      </c>
      <c r="D96" s="16" t="s">
        <v>271</v>
      </c>
      <c r="E96" s="17" t="s">
        <v>19</v>
      </c>
      <c r="F96" s="18"/>
      <c r="G96" s="102"/>
      <c r="H96" s="20" t="s">
        <v>272</v>
      </c>
      <c r="I96" s="1"/>
    </row>
    <row r="97" spans="1:9" ht="15">
      <c r="A97" s="212"/>
      <c r="B97" s="127" t="s">
        <v>273</v>
      </c>
      <c r="C97" s="15" t="s">
        <v>17</v>
      </c>
      <c r="D97" s="16" t="s">
        <v>274</v>
      </c>
      <c r="E97" s="17" t="s">
        <v>19</v>
      </c>
      <c r="F97" s="18"/>
      <c r="G97" s="101"/>
      <c r="H97" s="56" t="s">
        <v>275</v>
      </c>
      <c r="I97" s="1"/>
    </row>
    <row r="98" spans="1:9" ht="30">
      <c r="A98" s="212"/>
      <c r="B98" s="127" t="s">
        <v>275</v>
      </c>
      <c r="C98" s="15" t="s">
        <v>17</v>
      </c>
      <c r="D98" s="16" t="s">
        <v>276</v>
      </c>
      <c r="E98" s="17" t="s">
        <v>19</v>
      </c>
      <c r="F98" s="18"/>
      <c r="G98" s="101"/>
      <c r="H98" s="56" t="s">
        <v>277</v>
      </c>
      <c r="I98" s="1"/>
    </row>
    <row r="99" spans="1:9" ht="30">
      <c r="A99" s="212"/>
      <c r="B99" s="127" t="s">
        <v>277</v>
      </c>
      <c r="C99" s="15" t="s">
        <v>17</v>
      </c>
      <c r="D99" s="16" t="s">
        <v>278</v>
      </c>
      <c r="E99" s="17" t="s">
        <v>19</v>
      </c>
      <c r="F99" s="18"/>
      <c r="G99" s="102"/>
      <c r="H99" s="20" t="s">
        <v>279</v>
      </c>
      <c r="I99" s="1"/>
    </row>
    <row r="100" spans="1:9" ht="15">
      <c r="A100" s="212"/>
      <c r="B100" s="127" t="s">
        <v>279</v>
      </c>
      <c r="C100" s="15" t="s">
        <v>17</v>
      </c>
      <c r="D100" s="16" t="s">
        <v>280</v>
      </c>
      <c r="E100" s="17" t="s">
        <v>19</v>
      </c>
      <c r="F100" s="18"/>
      <c r="G100" s="102"/>
      <c r="H100" s="20" t="s">
        <v>281</v>
      </c>
      <c r="I100" s="1"/>
    </row>
    <row r="101" spans="1:9" ht="30">
      <c r="A101" s="213"/>
      <c r="B101" s="129" t="s">
        <v>282</v>
      </c>
      <c r="C101" s="31" t="s">
        <v>17</v>
      </c>
      <c r="D101" s="32" t="s">
        <v>283</v>
      </c>
      <c r="E101" s="33" t="s">
        <v>19</v>
      </c>
      <c r="F101" s="34"/>
      <c r="G101" s="103"/>
      <c r="H101" s="57" t="s">
        <v>284</v>
      </c>
      <c r="I101" s="1"/>
    </row>
    <row r="102" spans="1:9" ht="15">
      <c r="A102" s="213"/>
      <c r="B102" s="127" t="s">
        <v>281</v>
      </c>
      <c r="C102" s="15" t="s">
        <v>17</v>
      </c>
      <c r="D102" s="16" t="s">
        <v>285</v>
      </c>
      <c r="E102" s="33" t="s">
        <v>19</v>
      </c>
      <c r="F102" s="18"/>
      <c r="G102" s="101"/>
      <c r="H102" s="56" t="s">
        <v>23</v>
      </c>
      <c r="I102" s="1"/>
    </row>
    <row r="103" spans="1:9" ht="30">
      <c r="A103" s="213"/>
      <c r="B103" s="127" t="s">
        <v>284</v>
      </c>
      <c r="C103" s="15" t="s">
        <v>17</v>
      </c>
      <c r="D103" s="16" t="s">
        <v>286</v>
      </c>
      <c r="E103" s="17" t="s">
        <v>19</v>
      </c>
      <c r="F103" s="18"/>
      <c r="G103" s="101"/>
      <c r="H103" s="56" t="s">
        <v>23</v>
      </c>
      <c r="I103" s="1"/>
    </row>
    <row r="104" spans="1:9" ht="30.6" thickBot="1">
      <c r="A104" s="219"/>
      <c r="B104" s="128" t="s">
        <v>287</v>
      </c>
      <c r="C104" s="44" t="s">
        <v>12</v>
      </c>
      <c r="D104" s="45" t="s">
        <v>288</v>
      </c>
      <c r="E104" s="46" t="s">
        <v>19</v>
      </c>
      <c r="F104" s="47"/>
      <c r="G104" s="104"/>
      <c r="H104" s="58" t="s">
        <v>23</v>
      </c>
      <c r="I104" s="1"/>
    </row>
    <row r="105" spans="1:9" ht="30">
      <c r="A105" s="222" t="s">
        <v>289</v>
      </c>
      <c r="B105" s="132" t="s">
        <v>290</v>
      </c>
      <c r="C105" s="50" t="s">
        <v>17</v>
      </c>
      <c r="D105" s="51" t="s">
        <v>291</v>
      </c>
      <c r="E105" s="52" t="s">
        <v>19</v>
      </c>
      <c r="F105" s="53"/>
      <c r="G105" s="54"/>
      <c r="H105" s="55" t="s">
        <v>292</v>
      </c>
      <c r="I105" s="1"/>
    </row>
    <row r="106" spans="1:9" ht="45">
      <c r="A106" s="212"/>
      <c r="B106" s="132" t="s">
        <v>293</v>
      </c>
      <c r="C106" s="15" t="s">
        <v>17</v>
      </c>
      <c r="D106" s="16" t="s">
        <v>294</v>
      </c>
      <c r="E106" s="52" t="s">
        <v>19</v>
      </c>
      <c r="F106" s="18"/>
      <c r="G106" s="19"/>
      <c r="H106" s="20" t="s">
        <v>295</v>
      </c>
      <c r="I106" s="1"/>
    </row>
    <row r="107" spans="1:9" ht="30">
      <c r="A107" s="212"/>
      <c r="B107" s="132" t="s">
        <v>296</v>
      </c>
      <c r="C107" s="15" t="s">
        <v>17</v>
      </c>
      <c r="D107" s="16" t="s">
        <v>297</v>
      </c>
      <c r="E107" s="17" t="s">
        <v>19</v>
      </c>
      <c r="F107" s="18"/>
      <c r="G107" s="21"/>
      <c r="H107" s="56" t="s">
        <v>298</v>
      </c>
      <c r="I107" s="1"/>
    </row>
    <row r="108" spans="1:9" ht="57.6">
      <c r="A108" s="212"/>
      <c r="B108" s="132" t="s">
        <v>299</v>
      </c>
      <c r="C108" s="15" t="s">
        <v>17</v>
      </c>
      <c r="D108" s="16" t="s">
        <v>300</v>
      </c>
      <c r="E108" s="17" t="s">
        <v>19</v>
      </c>
      <c r="F108" s="18"/>
      <c r="G108" s="19"/>
      <c r="H108" s="20" t="s">
        <v>301</v>
      </c>
      <c r="I108" s="1"/>
    </row>
    <row r="109" spans="1:9" ht="15">
      <c r="A109" s="212"/>
      <c r="B109" s="132" t="s">
        <v>302</v>
      </c>
      <c r="C109" s="15" t="s">
        <v>17</v>
      </c>
      <c r="D109" s="16" t="s">
        <v>303</v>
      </c>
      <c r="E109" s="17" t="s">
        <v>19</v>
      </c>
      <c r="F109" s="18"/>
      <c r="G109" s="19"/>
      <c r="H109" s="20" t="s">
        <v>304</v>
      </c>
      <c r="I109" s="1"/>
    </row>
    <row r="110" spans="1:9" ht="30">
      <c r="A110" s="212"/>
      <c r="B110" s="132" t="s">
        <v>305</v>
      </c>
      <c r="C110" s="15" t="s">
        <v>12</v>
      </c>
      <c r="D110" s="16" t="s">
        <v>306</v>
      </c>
      <c r="E110" s="17" t="s">
        <v>19</v>
      </c>
      <c r="F110" s="18"/>
      <c r="G110" s="19"/>
      <c r="H110" s="20" t="s">
        <v>307</v>
      </c>
      <c r="I110" s="1"/>
    </row>
    <row r="111" spans="1:9" ht="30">
      <c r="A111" s="212"/>
      <c r="B111" s="132" t="s">
        <v>308</v>
      </c>
      <c r="C111" s="15" t="s">
        <v>17</v>
      </c>
      <c r="D111" s="16" t="s">
        <v>309</v>
      </c>
      <c r="E111" s="17" t="s">
        <v>19</v>
      </c>
      <c r="F111" s="18"/>
      <c r="G111" s="19"/>
      <c r="H111" s="20" t="s">
        <v>310</v>
      </c>
      <c r="I111" s="1"/>
    </row>
    <row r="112" spans="1:9" ht="30">
      <c r="A112" s="212"/>
      <c r="B112" s="132" t="s">
        <v>311</v>
      </c>
      <c r="C112" s="15" t="s">
        <v>17</v>
      </c>
      <c r="D112" s="16" t="s">
        <v>312</v>
      </c>
      <c r="E112" s="17" t="s">
        <v>19</v>
      </c>
      <c r="F112" s="18"/>
      <c r="G112" s="19"/>
      <c r="H112" s="20" t="s">
        <v>313</v>
      </c>
      <c r="I112" s="1"/>
    </row>
    <row r="113" spans="1:9" ht="30">
      <c r="A113" s="212"/>
      <c r="B113" s="132" t="s">
        <v>314</v>
      </c>
      <c r="C113" s="15" t="s">
        <v>17</v>
      </c>
      <c r="D113" s="16" t="s">
        <v>315</v>
      </c>
      <c r="E113" s="17" t="s">
        <v>19</v>
      </c>
      <c r="F113" s="18"/>
      <c r="G113" s="19"/>
      <c r="H113" s="20" t="s">
        <v>316</v>
      </c>
      <c r="I113" s="1"/>
    </row>
    <row r="114" spans="1:9" ht="30">
      <c r="A114" s="212"/>
      <c r="B114" s="132" t="s">
        <v>316</v>
      </c>
      <c r="C114" s="15" t="s">
        <v>17</v>
      </c>
      <c r="D114" s="16" t="s">
        <v>317</v>
      </c>
      <c r="E114" s="17" t="s">
        <v>19</v>
      </c>
      <c r="F114" s="18"/>
      <c r="G114" s="19"/>
      <c r="H114" s="20" t="s">
        <v>318</v>
      </c>
      <c r="I114" s="1"/>
    </row>
    <row r="115" spans="1:9" ht="15.6" thickBot="1">
      <c r="A115" s="219"/>
      <c r="B115" s="132" t="s">
        <v>318</v>
      </c>
      <c r="C115" s="23" t="s">
        <v>12</v>
      </c>
      <c r="D115" s="24" t="s">
        <v>319</v>
      </c>
      <c r="E115" s="25" t="s">
        <v>19</v>
      </c>
      <c r="F115" s="26"/>
      <c r="G115" s="27"/>
      <c r="H115" s="28" t="s">
        <v>23</v>
      </c>
      <c r="I115" s="1"/>
    </row>
    <row r="116" spans="1:9" ht="30">
      <c r="A116" s="211" t="s">
        <v>320</v>
      </c>
      <c r="B116" s="126" t="s">
        <v>321</v>
      </c>
      <c r="C116" s="9" t="s">
        <v>89</v>
      </c>
      <c r="D116" s="10" t="s">
        <v>322</v>
      </c>
      <c r="E116" s="11" t="s">
        <v>14</v>
      </c>
      <c r="F116" s="12"/>
      <c r="G116" s="29"/>
      <c r="H116" s="30" t="s">
        <v>323</v>
      </c>
      <c r="I116" s="1"/>
    </row>
    <row r="117" spans="1:9" ht="30">
      <c r="A117" s="212"/>
      <c r="B117" s="127" t="s">
        <v>324</v>
      </c>
      <c r="C117" s="15" t="s">
        <v>89</v>
      </c>
      <c r="D117" s="16" t="s">
        <v>325</v>
      </c>
      <c r="E117" s="17" t="s">
        <v>19</v>
      </c>
      <c r="F117" s="18"/>
      <c r="G117" s="19"/>
      <c r="H117" s="20" t="s">
        <v>326</v>
      </c>
      <c r="I117" s="1"/>
    </row>
    <row r="118" spans="1:9" ht="30.6" thickBot="1">
      <c r="A118" s="212"/>
      <c r="B118" s="127" t="s">
        <v>327</v>
      </c>
      <c r="C118" s="15" t="s">
        <v>89</v>
      </c>
      <c r="D118" s="16" t="s">
        <v>328</v>
      </c>
      <c r="E118" s="17" t="s">
        <v>19</v>
      </c>
      <c r="F118" s="18"/>
      <c r="G118" s="19"/>
      <c r="H118" s="20" t="s">
        <v>329</v>
      </c>
      <c r="I118" s="1"/>
    </row>
    <row r="119" spans="1:9" ht="30">
      <c r="A119" s="211" t="s">
        <v>330</v>
      </c>
      <c r="B119" s="126" t="s">
        <v>331</v>
      </c>
      <c r="C119" s="9" t="s">
        <v>89</v>
      </c>
      <c r="D119" s="10" t="s">
        <v>332</v>
      </c>
      <c r="E119" s="11" t="s">
        <v>14</v>
      </c>
      <c r="F119" s="12"/>
      <c r="G119" s="29"/>
      <c r="H119" s="30" t="s">
        <v>333</v>
      </c>
      <c r="I119" s="1"/>
    </row>
    <row r="120" spans="1:9" ht="30">
      <c r="A120" s="212"/>
      <c r="B120" s="127" t="s">
        <v>334</v>
      </c>
      <c r="C120" s="15" t="s">
        <v>89</v>
      </c>
      <c r="D120" s="16" t="s">
        <v>335</v>
      </c>
      <c r="E120" s="17" t="s">
        <v>32</v>
      </c>
      <c r="F120" s="18"/>
      <c r="G120" s="19"/>
      <c r="H120" s="20" t="s">
        <v>336</v>
      </c>
      <c r="I120" s="1"/>
    </row>
    <row r="121" spans="1:9" ht="30">
      <c r="A121" s="212"/>
      <c r="B121" s="127" t="s">
        <v>337</v>
      </c>
      <c r="C121" s="15" t="s">
        <v>89</v>
      </c>
      <c r="D121" s="16" t="s">
        <v>338</v>
      </c>
      <c r="E121" s="17" t="s">
        <v>19</v>
      </c>
      <c r="F121" s="18"/>
      <c r="G121" s="19"/>
      <c r="H121" s="20" t="s">
        <v>339</v>
      </c>
      <c r="I121" s="1"/>
    </row>
    <row r="122" spans="1:9" ht="30.6" thickBot="1">
      <c r="A122" s="219"/>
      <c r="B122" s="127" t="s">
        <v>340</v>
      </c>
      <c r="C122" s="23" t="s">
        <v>17</v>
      </c>
      <c r="D122" s="24" t="s">
        <v>341</v>
      </c>
      <c r="E122" s="25" t="s">
        <v>19</v>
      </c>
      <c r="F122" s="26"/>
      <c r="G122" s="27"/>
      <c r="H122" s="28" t="s">
        <v>23</v>
      </c>
      <c r="I122" s="22"/>
    </row>
    <row r="123" spans="1:9" ht="30">
      <c r="A123" s="211" t="s">
        <v>342</v>
      </c>
      <c r="B123" s="126" t="s">
        <v>343</v>
      </c>
      <c r="C123" s="9" t="s">
        <v>17</v>
      </c>
      <c r="D123" s="10" t="s">
        <v>344</v>
      </c>
      <c r="E123" s="11" t="s">
        <v>19</v>
      </c>
      <c r="F123" s="12"/>
      <c r="G123" s="29"/>
      <c r="H123" s="30" t="s">
        <v>345</v>
      </c>
      <c r="I123" s="1"/>
    </row>
    <row r="124" spans="1:9" ht="15">
      <c r="A124" s="223"/>
      <c r="B124" s="130" t="s">
        <v>346</v>
      </c>
      <c r="C124" s="37" t="s">
        <v>17</v>
      </c>
      <c r="D124" s="38" t="s">
        <v>347</v>
      </c>
      <c r="E124" s="39" t="s">
        <v>19</v>
      </c>
      <c r="F124" s="40"/>
      <c r="G124" s="41"/>
      <c r="H124" s="42" t="s">
        <v>348</v>
      </c>
      <c r="I124" s="1"/>
    </row>
    <row r="125" spans="1:9" ht="15.6" thickBot="1">
      <c r="A125" s="219"/>
      <c r="B125" s="128" t="s">
        <v>349</v>
      </c>
      <c r="C125" s="23" t="s">
        <v>12</v>
      </c>
      <c r="D125" s="24" t="s">
        <v>350</v>
      </c>
      <c r="E125" s="25" t="s">
        <v>19</v>
      </c>
      <c r="F125" s="26"/>
      <c r="G125" s="27"/>
      <c r="H125" s="28" t="s">
        <v>23</v>
      </c>
      <c r="I125" s="1"/>
    </row>
    <row r="126" spans="1:9" ht="30">
      <c r="A126" s="211" t="s">
        <v>351</v>
      </c>
      <c r="B126" s="126" t="s">
        <v>352</v>
      </c>
      <c r="C126" s="9" t="s">
        <v>17</v>
      </c>
      <c r="D126" s="10" t="s">
        <v>353</v>
      </c>
      <c r="E126" s="11" t="s">
        <v>19</v>
      </c>
      <c r="F126" s="12"/>
      <c r="G126" s="29"/>
      <c r="H126" s="30" t="s">
        <v>232</v>
      </c>
      <c r="I126" s="1"/>
    </row>
    <row r="127" spans="1:9" ht="30">
      <c r="A127" s="212"/>
      <c r="B127" s="127" t="s">
        <v>354</v>
      </c>
      <c r="C127" s="15" t="s">
        <v>17</v>
      </c>
      <c r="D127" s="16" t="s">
        <v>355</v>
      </c>
      <c r="E127" s="17" t="s">
        <v>19</v>
      </c>
      <c r="F127" s="18"/>
      <c r="G127" s="19"/>
      <c r="H127" s="20" t="s">
        <v>282</v>
      </c>
      <c r="I127" s="1"/>
    </row>
    <row r="128" spans="1:9" ht="30">
      <c r="A128" s="212"/>
      <c r="B128" s="127" t="s">
        <v>356</v>
      </c>
      <c r="C128" s="15" t="s">
        <v>17</v>
      </c>
      <c r="D128" s="16" t="s">
        <v>357</v>
      </c>
      <c r="E128" s="17" t="s">
        <v>19</v>
      </c>
      <c r="F128" s="18"/>
      <c r="G128" s="19"/>
      <c r="H128" s="20" t="s">
        <v>358</v>
      </c>
      <c r="I128" s="1"/>
    </row>
    <row r="129" spans="1:9" ht="30">
      <c r="A129" s="212"/>
      <c r="B129" s="127" t="s">
        <v>359</v>
      </c>
      <c r="C129" s="15" t="s">
        <v>12</v>
      </c>
      <c r="D129" s="16" t="s">
        <v>360</v>
      </c>
      <c r="E129" s="17" t="s">
        <v>19</v>
      </c>
      <c r="F129" s="18"/>
      <c r="G129" s="19"/>
      <c r="H129" s="20" t="s">
        <v>361</v>
      </c>
      <c r="I129" s="1"/>
    </row>
    <row r="130" spans="1:9" ht="15">
      <c r="A130" s="212"/>
      <c r="B130" s="127" t="s">
        <v>362</v>
      </c>
      <c r="C130" s="15" t="s">
        <v>17</v>
      </c>
      <c r="D130" s="16" t="s">
        <v>363</v>
      </c>
      <c r="E130" s="17" t="s">
        <v>19</v>
      </c>
      <c r="F130" s="18"/>
      <c r="G130" s="19"/>
      <c r="H130" s="20" t="s">
        <v>364</v>
      </c>
      <c r="I130" s="1"/>
    </row>
    <row r="131" spans="1:9" ht="30">
      <c r="A131" s="213"/>
      <c r="B131" s="127" t="s">
        <v>365</v>
      </c>
      <c r="C131" s="15" t="s">
        <v>12</v>
      </c>
      <c r="D131" s="16" t="s">
        <v>366</v>
      </c>
      <c r="E131" s="17" t="s">
        <v>19</v>
      </c>
      <c r="F131" s="18"/>
      <c r="G131" s="19"/>
      <c r="H131" s="20" t="s">
        <v>367</v>
      </c>
      <c r="I131" s="1"/>
    </row>
    <row r="132" spans="1:9" ht="15.6" thickBot="1">
      <c r="A132" s="219"/>
      <c r="B132" s="127" t="s">
        <v>368</v>
      </c>
      <c r="C132" s="23" t="s">
        <v>89</v>
      </c>
      <c r="D132" s="24" t="s">
        <v>369</v>
      </c>
      <c r="E132" s="25" t="s">
        <v>19</v>
      </c>
      <c r="F132" s="26"/>
      <c r="G132" s="27"/>
      <c r="H132" s="28" t="s">
        <v>367</v>
      </c>
      <c r="I132" s="1"/>
    </row>
    <row r="133" spans="1:9" ht="45">
      <c r="A133" s="211" t="s">
        <v>370</v>
      </c>
      <c r="B133" s="126" t="s">
        <v>371</v>
      </c>
      <c r="C133" s="9" t="s">
        <v>17</v>
      </c>
      <c r="D133" s="10" t="s">
        <v>372</v>
      </c>
      <c r="E133" s="11" t="s">
        <v>19</v>
      </c>
      <c r="F133" s="12"/>
      <c r="G133" s="29"/>
      <c r="H133" s="30" t="s">
        <v>373</v>
      </c>
      <c r="I133" s="1"/>
    </row>
    <row r="134" spans="1:9" ht="30">
      <c r="A134" s="212"/>
      <c r="B134" s="127" t="s">
        <v>374</v>
      </c>
      <c r="C134" s="15" t="s">
        <v>12</v>
      </c>
      <c r="D134" s="16" t="s">
        <v>375</v>
      </c>
      <c r="E134" s="17" t="s">
        <v>19</v>
      </c>
      <c r="F134" s="18"/>
      <c r="G134" s="19"/>
      <c r="H134" s="20" t="s">
        <v>376</v>
      </c>
      <c r="I134" s="22"/>
    </row>
    <row r="135" spans="1:9" ht="20.399999999999999">
      <c r="A135" s="212"/>
      <c r="B135" s="127" t="s">
        <v>377</v>
      </c>
      <c r="C135" s="15" t="s">
        <v>89</v>
      </c>
      <c r="D135" s="16" t="s">
        <v>378</v>
      </c>
      <c r="E135" s="17" t="s">
        <v>19</v>
      </c>
      <c r="F135" s="18"/>
      <c r="G135" s="19"/>
      <c r="H135" s="20" t="s">
        <v>23</v>
      </c>
      <c r="I135" s="22"/>
    </row>
    <row r="136" spans="1:9" ht="20.399999999999999">
      <c r="A136" s="212"/>
      <c r="B136" s="127" t="s">
        <v>379</v>
      </c>
      <c r="C136" s="15" t="s">
        <v>12</v>
      </c>
      <c r="D136" s="16" t="s">
        <v>380</v>
      </c>
      <c r="E136" s="17" t="s">
        <v>19</v>
      </c>
      <c r="F136" s="18"/>
      <c r="G136" s="19"/>
      <c r="H136" s="20" t="s">
        <v>23</v>
      </c>
      <c r="I136" s="22"/>
    </row>
    <row r="137" spans="1:9" ht="21" thickBot="1">
      <c r="A137" s="219"/>
      <c r="B137" s="128" t="s">
        <v>381</v>
      </c>
      <c r="C137" s="23" t="s">
        <v>17</v>
      </c>
      <c r="D137" s="24" t="s">
        <v>382</v>
      </c>
      <c r="E137" s="25" t="s">
        <v>14</v>
      </c>
      <c r="F137" s="26"/>
      <c r="G137" s="27"/>
      <c r="H137" s="28" t="s">
        <v>23</v>
      </c>
      <c r="I137" s="22"/>
    </row>
    <row r="138" spans="1:9" ht="30">
      <c r="A138" s="211" t="s">
        <v>383</v>
      </c>
      <c r="B138" s="126" t="s">
        <v>384</v>
      </c>
      <c r="C138" s="9" t="s">
        <v>17</v>
      </c>
      <c r="D138" s="10" t="s">
        <v>385</v>
      </c>
      <c r="E138" s="11" t="s">
        <v>19</v>
      </c>
      <c r="F138" s="59"/>
      <c r="G138" s="29"/>
      <c r="H138" s="30" t="s">
        <v>386</v>
      </c>
      <c r="I138" s="1"/>
    </row>
    <row r="139" spans="1:9" ht="30">
      <c r="A139" s="212"/>
      <c r="B139" s="127" t="s">
        <v>387</v>
      </c>
      <c r="C139" s="15" t="s">
        <v>17</v>
      </c>
      <c r="D139" s="16" t="s">
        <v>388</v>
      </c>
      <c r="E139" s="17" t="s">
        <v>19</v>
      </c>
      <c r="F139" s="60"/>
      <c r="G139" s="19"/>
      <c r="H139" s="20" t="s">
        <v>389</v>
      </c>
      <c r="I139" s="1"/>
    </row>
    <row r="140" spans="1:9" ht="30.6" thickBot="1">
      <c r="A140" s="219"/>
      <c r="B140" s="128" t="s">
        <v>390</v>
      </c>
      <c r="C140" s="23" t="s">
        <v>12</v>
      </c>
      <c r="D140" s="24" t="s">
        <v>391</v>
      </c>
      <c r="E140" s="25" t="s">
        <v>32</v>
      </c>
      <c r="F140" s="61"/>
      <c r="G140" s="27"/>
      <c r="H140" s="28" t="s">
        <v>392</v>
      </c>
      <c r="I140" s="1"/>
    </row>
    <row r="141" spans="1:9" ht="30">
      <c r="A141" s="211" t="s">
        <v>393</v>
      </c>
      <c r="B141" s="126" t="s">
        <v>394</v>
      </c>
      <c r="C141" s="9" t="s">
        <v>17</v>
      </c>
      <c r="D141" s="10" t="s">
        <v>395</v>
      </c>
      <c r="E141" s="11" t="s">
        <v>19</v>
      </c>
      <c r="F141" s="59"/>
      <c r="G141" s="29"/>
      <c r="H141" s="30" t="s">
        <v>23</v>
      </c>
      <c r="I141" s="1"/>
    </row>
    <row r="142" spans="1:9" ht="15">
      <c r="A142" s="212"/>
      <c r="B142" s="127" t="s">
        <v>396</v>
      </c>
      <c r="C142" s="15" t="s">
        <v>17</v>
      </c>
      <c r="D142" s="16" t="s">
        <v>397</v>
      </c>
      <c r="E142" s="17" t="s">
        <v>19</v>
      </c>
      <c r="F142" s="60"/>
      <c r="G142" s="19"/>
      <c r="H142" s="20" t="s">
        <v>23</v>
      </c>
      <c r="I142" s="1"/>
    </row>
    <row r="143" spans="1:9" ht="15">
      <c r="A143" s="212"/>
      <c r="B143" s="127" t="s">
        <v>398</v>
      </c>
      <c r="C143" s="15" t="s">
        <v>17</v>
      </c>
      <c r="D143" s="16" t="s">
        <v>399</v>
      </c>
      <c r="E143" s="17" t="s">
        <v>19</v>
      </c>
      <c r="F143" s="60"/>
      <c r="G143" s="19"/>
      <c r="H143" s="20" t="s">
        <v>23</v>
      </c>
      <c r="I143" s="1"/>
    </row>
    <row r="144" spans="1:9" ht="30">
      <c r="A144" s="212"/>
      <c r="B144" s="127" t="s">
        <v>400</v>
      </c>
      <c r="C144" s="15" t="s">
        <v>17</v>
      </c>
      <c r="D144" s="16" t="s">
        <v>401</v>
      </c>
      <c r="E144" s="17" t="s">
        <v>19</v>
      </c>
      <c r="F144" s="60"/>
      <c r="G144" s="19"/>
      <c r="H144" s="20" t="s">
        <v>23</v>
      </c>
      <c r="I144" s="1"/>
    </row>
    <row r="145" spans="1:9" ht="15">
      <c r="A145" s="212"/>
      <c r="B145" s="127" t="s">
        <v>402</v>
      </c>
      <c r="C145" s="15" t="s">
        <v>17</v>
      </c>
      <c r="D145" s="16" t="s">
        <v>403</v>
      </c>
      <c r="E145" s="17" t="s">
        <v>19</v>
      </c>
      <c r="F145" s="60"/>
      <c r="G145" s="19"/>
      <c r="H145" s="20" t="s">
        <v>23</v>
      </c>
      <c r="I145" s="1"/>
    </row>
    <row r="146" spans="1:9" ht="30">
      <c r="A146" s="212"/>
      <c r="B146" s="127" t="s">
        <v>404</v>
      </c>
      <c r="C146" s="15" t="s">
        <v>17</v>
      </c>
      <c r="D146" s="16" t="s">
        <v>405</v>
      </c>
      <c r="E146" s="17" t="s">
        <v>19</v>
      </c>
      <c r="F146" s="60"/>
      <c r="G146" s="19"/>
      <c r="H146" s="20" t="s">
        <v>23</v>
      </c>
      <c r="I146" s="1"/>
    </row>
    <row r="147" spans="1:9" ht="21" thickBot="1">
      <c r="A147" s="219"/>
      <c r="B147" s="128" t="s">
        <v>406</v>
      </c>
      <c r="C147" s="23" t="s">
        <v>12</v>
      </c>
      <c r="D147" s="24" t="s">
        <v>407</v>
      </c>
      <c r="E147" s="25" t="s">
        <v>19</v>
      </c>
      <c r="F147" s="61"/>
      <c r="G147" s="27"/>
      <c r="H147" s="20" t="s">
        <v>23</v>
      </c>
      <c r="I147" s="22"/>
    </row>
    <row r="148" spans="1:9" ht="30">
      <c r="A148" s="220" t="s">
        <v>408</v>
      </c>
      <c r="B148" s="126" t="s">
        <v>409</v>
      </c>
      <c r="C148" s="9" t="s">
        <v>12</v>
      </c>
      <c r="D148" s="10" t="s">
        <v>410</v>
      </c>
      <c r="E148" s="11" t="s">
        <v>19</v>
      </c>
      <c r="F148" s="59"/>
      <c r="G148" s="29"/>
      <c r="H148" s="30" t="s">
        <v>411</v>
      </c>
      <c r="I148" s="1"/>
    </row>
    <row r="149" spans="1:9" ht="15">
      <c r="A149" s="223"/>
      <c r="B149" s="127" t="s">
        <v>412</v>
      </c>
      <c r="C149" s="15" t="s">
        <v>17</v>
      </c>
      <c r="D149" s="16" t="s">
        <v>413</v>
      </c>
      <c r="E149" s="17" t="s">
        <v>14</v>
      </c>
      <c r="F149" s="60"/>
      <c r="G149" s="19"/>
      <c r="H149" s="20" t="s">
        <v>414</v>
      </c>
      <c r="I149" s="1"/>
    </row>
    <row r="150" spans="1:9" ht="30">
      <c r="A150" s="223"/>
      <c r="B150" s="127" t="s">
        <v>415</v>
      </c>
      <c r="C150" s="15" t="s">
        <v>12</v>
      </c>
      <c r="D150" s="16" t="s">
        <v>416</v>
      </c>
      <c r="E150" s="17" t="s">
        <v>19</v>
      </c>
      <c r="F150" s="60"/>
      <c r="G150" s="19"/>
      <c r="H150" s="20" t="s">
        <v>417</v>
      </c>
      <c r="I150" s="1"/>
    </row>
    <row r="151" spans="1:9" ht="30">
      <c r="A151" s="223"/>
      <c r="B151" s="127" t="s">
        <v>418</v>
      </c>
      <c r="C151" s="15" t="s">
        <v>12</v>
      </c>
      <c r="D151" s="16" t="s">
        <v>419</v>
      </c>
      <c r="E151" s="17" t="s">
        <v>19</v>
      </c>
      <c r="F151" s="60"/>
      <c r="G151" s="19"/>
      <c r="H151" s="20" t="s">
        <v>420</v>
      </c>
      <c r="I151" s="1"/>
    </row>
    <row r="152" spans="1:9" ht="15">
      <c r="A152" s="223"/>
      <c r="B152" s="127" t="s">
        <v>421</v>
      </c>
      <c r="C152" s="15" t="s">
        <v>12</v>
      </c>
      <c r="D152" s="16" t="s">
        <v>422</v>
      </c>
      <c r="E152" s="17" t="s">
        <v>19</v>
      </c>
      <c r="F152" s="60"/>
      <c r="G152" s="19"/>
      <c r="H152" s="20" t="s">
        <v>23</v>
      </c>
      <c r="I152" s="1"/>
    </row>
    <row r="153" spans="1:9" ht="30">
      <c r="A153" s="223"/>
      <c r="B153" s="127" t="s">
        <v>423</v>
      </c>
      <c r="C153" s="15" t="s">
        <v>12</v>
      </c>
      <c r="D153" s="16" t="s">
        <v>424</v>
      </c>
      <c r="E153" s="17" t="s">
        <v>14</v>
      </c>
      <c r="F153" s="18"/>
      <c r="G153" s="21"/>
      <c r="H153" s="56" t="s">
        <v>23</v>
      </c>
      <c r="I153" s="1"/>
    </row>
    <row r="154" spans="1:9" ht="30.6" thickBot="1">
      <c r="A154" s="221"/>
      <c r="B154" s="128" t="s">
        <v>425</v>
      </c>
      <c r="C154" s="23" t="s">
        <v>17</v>
      </c>
      <c r="D154" s="24" t="s">
        <v>426</v>
      </c>
      <c r="E154" s="25" t="s">
        <v>14</v>
      </c>
      <c r="F154" s="26"/>
      <c r="G154" s="62"/>
      <c r="H154" s="57" t="s">
        <v>23</v>
      </c>
      <c r="I154" s="1"/>
    </row>
    <row r="155" spans="1:9" ht="32.4" thickBot="1">
      <c r="A155" s="63" t="s">
        <v>427</v>
      </c>
      <c r="B155" s="133" t="s">
        <v>428</v>
      </c>
      <c r="C155" s="64" t="s">
        <v>17</v>
      </c>
      <c r="D155" s="65" t="s">
        <v>429</v>
      </c>
      <c r="E155" s="66" t="s">
        <v>14</v>
      </c>
      <c r="F155" s="67"/>
      <c r="G155" s="68"/>
      <c r="H155" s="69" t="s">
        <v>23</v>
      </c>
      <c r="I155" s="1"/>
    </row>
    <row r="156" spans="1:9" ht="30">
      <c r="A156" s="211" t="s">
        <v>430</v>
      </c>
      <c r="B156" s="126" t="s">
        <v>431</v>
      </c>
      <c r="C156" s="9" t="s">
        <v>89</v>
      </c>
      <c r="D156" s="10" t="s">
        <v>432</v>
      </c>
      <c r="E156" s="11" t="s">
        <v>14</v>
      </c>
      <c r="F156" s="12"/>
      <c r="G156" s="70"/>
      <c r="H156" s="71" t="s">
        <v>23</v>
      </c>
      <c r="I156" s="1"/>
    </row>
    <row r="157" spans="1:9" ht="30">
      <c r="A157" s="212"/>
      <c r="B157" s="127" t="s">
        <v>433</v>
      </c>
      <c r="C157" s="15" t="s">
        <v>89</v>
      </c>
      <c r="D157" s="16" t="s">
        <v>434</v>
      </c>
      <c r="E157" s="17" t="s">
        <v>14</v>
      </c>
      <c r="F157" s="18"/>
      <c r="G157" s="72"/>
      <c r="H157" s="73" t="s">
        <v>23</v>
      </c>
      <c r="I157" s="1"/>
    </row>
    <row r="158" spans="1:9" ht="30">
      <c r="A158" s="212"/>
      <c r="B158" s="127" t="s">
        <v>435</v>
      </c>
      <c r="C158" s="15" t="s">
        <v>17</v>
      </c>
      <c r="D158" s="16" t="s">
        <v>436</v>
      </c>
      <c r="E158" s="17" t="s">
        <v>19</v>
      </c>
      <c r="F158" s="18"/>
      <c r="G158" s="72"/>
      <c r="H158" s="73" t="s">
        <v>23</v>
      </c>
      <c r="I158" s="1"/>
    </row>
    <row r="159" spans="1:9" ht="15.6">
      <c r="A159" s="212"/>
      <c r="B159" s="127" t="s">
        <v>437</v>
      </c>
      <c r="C159" s="15" t="s">
        <v>17</v>
      </c>
      <c r="D159" s="16" t="s">
        <v>438</v>
      </c>
      <c r="E159" s="17" t="s">
        <v>19</v>
      </c>
      <c r="F159" s="18"/>
      <c r="G159" s="72"/>
      <c r="H159" s="73" t="s">
        <v>23</v>
      </c>
      <c r="I159" s="1"/>
    </row>
    <row r="160" spans="1:9" ht="30">
      <c r="A160" s="212"/>
      <c r="B160" s="127" t="s">
        <v>439</v>
      </c>
      <c r="C160" s="74" t="s">
        <v>17</v>
      </c>
      <c r="D160" s="75" t="s">
        <v>440</v>
      </c>
      <c r="E160" s="17" t="s">
        <v>19</v>
      </c>
      <c r="F160" s="18"/>
      <c r="G160" s="72"/>
      <c r="H160" s="73" t="s">
        <v>23</v>
      </c>
      <c r="I160" s="1"/>
    </row>
    <row r="161" spans="1:11" ht="15">
      <c r="A161" s="212"/>
      <c r="B161" s="134" t="s">
        <v>441</v>
      </c>
      <c r="C161" s="74" t="s">
        <v>12</v>
      </c>
      <c r="D161" s="75" t="s">
        <v>442</v>
      </c>
      <c r="E161" s="17" t="s">
        <v>14</v>
      </c>
      <c r="F161" s="18"/>
      <c r="G161" s="19"/>
      <c r="H161" s="73" t="s">
        <v>23</v>
      </c>
      <c r="I161" s="1"/>
    </row>
    <row r="162" spans="1:11" ht="60.6">
      <c r="A162" s="213"/>
      <c r="B162" s="127" t="s">
        <v>443</v>
      </c>
      <c r="C162" s="76" t="s">
        <v>17</v>
      </c>
      <c r="D162" s="77" t="s">
        <v>444</v>
      </c>
      <c r="E162" s="17" t="s">
        <v>14</v>
      </c>
      <c r="F162" s="34"/>
      <c r="G162" s="35"/>
      <c r="H162" s="78"/>
      <c r="I162" s="1"/>
    </row>
    <row r="163" spans="1:11" ht="60.6">
      <c r="A163" s="213"/>
      <c r="B163" s="134" t="s">
        <v>445</v>
      </c>
      <c r="C163" s="76" t="s">
        <v>17</v>
      </c>
      <c r="D163" s="77" t="s">
        <v>446</v>
      </c>
      <c r="E163" s="17" t="s">
        <v>14</v>
      </c>
      <c r="F163" s="34"/>
      <c r="G163" s="79"/>
      <c r="H163" s="78"/>
      <c r="I163" s="1"/>
      <c r="K163" t="s">
        <v>634</v>
      </c>
    </row>
    <row r="164" spans="1:11" ht="15.6" thickBot="1">
      <c r="A164" s="219"/>
      <c r="B164" s="128" t="s">
        <v>447</v>
      </c>
      <c r="C164" s="80" t="s">
        <v>12</v>
      </c>
      <c r="D164" s="81" t="s">
        <v>448</v>
      </c>
      <c r="E164" s="25" t="s">
        <v>14</v>
      </c>
      <c r="F164" s="26"/>
      <c r="G164" s="82"/>
      <c r="H164" s="83" t="s">
        <v>23</v>
      </c>
      <c r="I164" s="1"/>
    </row>
    <row r="165" spans="1:11" thickBot="1">
      <c r="A165" s="84"/>
      <c r="B165" s="85"/>
      <c r="C165" s="86"/>
      <c r="D165" s="87"/>
      <c r="E165" s="88"/>
      <c r="F165" s="86"/>
      <c r="G165" s="89"/>
      <c r="H165" s="90"/>
    </row>
    <row r="166" spans="1:11" thickBot="1">
      <c r="A166" s="84"/>
      <c r="B166" s="85"/>
      <c r="C166" s="86"/>
      <c r="D166" s="87"/>
      <c r="E166" s="91" t="s">
        <v>14</v>
      </c>
      <c r="F166" s="224" t="s">
        <v>449</v>
      </c>
      <c r="G166" s="225"/>
      <c r="H166" s="90"/>
    </row>
    <row r="167" spans="1:11" thickBot="1">
      <c r="A167" s="84"/>
      <c r="B167" s="85"/>
      <c r="C167" s="86"/>
      <c r="D167" s="87"/>
      <c r="E167" s="91" t="s">
        <v>19</v>
      </c>
      <c r="F167" s="224" t="s">
        <v>450</v>
      </c>
      <c r="G167" s="225"/>
      <c r="H167" s="90"/>
    </row>
    <row r="168" spans="1:11" thickBot="1">
      <c r="A168" s="84"/>
      <c r="B168" s="85"/>
      <c r="C168" s="86"/>
      <c r="D168" s="87"/>
      <c r="E168" s="91" t="s">
        <v>32</v>
      </c>
      <c r="F168" s="224" t="s">
        <v>451</v>
      </c>
      <c r="G168" s="225"/>
      <c r="H168" s="90"/>
    </row>
    <row r="169" spans="1:11" ht="17.399999999999999">
      <c r="A169" s="84"/>
      <c r="B169" s="85"/>
      <c r="C169" s="86"/>
      <c r="D169" s="87"/>
      <c r="E169" s="88"/>
      <c r="F169" s="86"/>
      <c r="G169" s="89"/>
      <c r="H169" s="90"/>
    </row>
    <row r="170" spans="1:11" ht="17.399999999999999">
      <c r="A170" s="84"/>
      <c r="B170" s="85"/>
      <c r="C170" s="86"/>
      <c r="D170" s="87"/>
      <c r="E170" s="88"/>
      <c r="F170" s="86"/>
      <c r="G170" s="89"/>
      <c r="H170" s="90"/>
    </row>
    <row r="171" spans="1:11" ht="17.399999999999999">
      <c r="A171" s="84"/>
      <c r="B171" s="85"/>
      <c r="C171" s="86"/>
      <c r="D171" s="87"/>
      <c r="E171" s="88"/>
      <c r="F171" s="86"/>
      <c r="G171" s="89"/>
      <c r="H171" s="90"/>
    </row>
    <row r="172" spans="1:11" ht="17.399999999999999">
      <c r="A172" s="84"/>
      <c r="B172" s="85"/>
      <c r="C172" s="86"/>
      <c r="D172" s="87"/>
      <c r="E172" s="88"/>
      <c r="F172" s="86"/>
      <c r="G172" s="89"/>
      <c r="H172" s="90"/>
    </row>
    <row r="173" spans="1:11" ht="17.399999999999999">
      <c r="A173" s="84"/>
      <c r="B173" s="85"/>
      <c r="C173" s="86"/>
      <c r="D173" s="87"/>
      <c r="E173" s="88"/>
      <c r="F173" s="86"/>
      <c r="G173" s="89"/>
      <c r="H173" s="90"/>
    </row>
    <row r="174" spans="1:11" ht="17.399999999999999">
      <c r="A174" s="84"/>
      <c r="B174" s="85"/>
      <c r="C174" s="86"/>
      <c r="D174" s="87"/>
      <c r="E174" s="88"/>
      <c r="F174" s="86"/>
      <c r="G174" s="89"/>
      <c r="H174" s="90"/>
    </row>
    <row r="175" spans="1:11" ht="17.399999999999999">
      <c r="A175" s="84"/>
      <c r="B175" s="85"/>
      <c r="C175" s="92"/>
      <c r="D175" s="87"/>
      <c r="E175" s="88"/>
      <c r="F175" s="86"/>
      <c r="G175" s="89"/>
      <c r="H175" s="90"/>
    </row>
    <row r="176" spans="1:11" ht="17.399999999999999">
      <c r="A176" s="84"/>
      <c r="B176" s="85"/>
      <c r="C176" s="86"/>
      <c r="D176" s="87"/>
      <c r="E176" s="88"/>
      <c r="F176" s="86"/>
      <c r="G176" s="89"/>
      <c r="H176" s="90"/>
    </row>
    <row r="177" spans="1:8" ht="17.399999999999999">
      <c r="A177" s="84"/>
      <c r="B177" s="85"/>
      <c r="C177" s="86"/>
      <c r="D177" s="87"/>
      <c r="E177" s="88"/>
      <c r="F177" s="86"/>
      <c r="G177" s="89"/>
      <c r="H177" s="90"/>
    </row>
    <row r="178" spans="1:8" ht="17.399999999999999">
      <c r="A178" s="84"/>
      <c r="B178" s="85"/>
      <c r="C178" s="86"/>
      <c r="D178" s="87"/>
      <c r="E178" s="88"/>
      <c r="F178" s="86"/>
      <c r="G178" s="89"/>
      <c r="H178" s="90"/>
    </row>
    <row r="214" spans="3:3">
      <c r="C214" s="96"/>
    </row>
  </sheetData>
  <mergeCells count="26">
    <mergeCell ref="F167:G167"/>
    <mergeCell ref="F168:G168"/>
    <mergeCell ref="A133:A137"/>
    <mergeCell ref="A138:A140"/>
    <mergeCell ref="A141:A147"/>
    <mergeCell ref="A148:A154"/>
    <mergeCell ref="A156:A164"/>
    <mergeCell ref="F166:G166"/>
    <mergeCell ref="A126:A132"/>
    <mergeCell ref="A55:A56"/>
    <mergeCell ref="A57:A62"/>
    <mergeCell ref="A63:A68"/>
    <mergeCell ref="A69:A70"/>
    <mergeCell ref="A71:A75"/>
    <mergeCell ref="A76:A88"/>
    <mergeCell ref="A89:A104"/>
    <mergeCell ref="A105:A115"/>
    <mergeCell ref="A116:A118"/>
    <mergeCell ref="A119:A122"/>
    <mergeCell ref="A123:A125"/>
    <mergeCell ref="A40:A54"/>
    <mergeCell ref="A1:H1"/>
    <mergeCell ref="A2:G2"/>
    <mergeCell ref="A4:A16"/>
    <mergeCell ref="A17:A30"/>
    <mergeCell ref="A31:A39"/>
  </mergeCells>
  <conditionalFormatting sqref="E2:E1048576">
    <cfRule type="cellIs" dxfId="70" priority="9" operator="equal">
      <formula>"monthly"</formula>
    </cfRule>
    <cfRule type="cellIs" dxfId="69" priority="10" operator="equal">
      <formula>"line survey"</formula>
    </cfRule>
    <cfRule type="cellIs" dxfId="68" priority="11" operator="equal">
      <formula>"daily all lines"</formula>
    </cfRule>
  </conditionalFormatting>
  <conditionalFormatting sqref="C2:C1048576">
    <cfRule type="cellIs" dxfId="67" priority="6" operator="equal">
      <formula>"major"</formula>
    </cfRule>
    <cfRule type="cellIs" dxfId="66" priority="7" operator="equal">
      <formula>"critical"</formula>
    </cfRule>
    <cfRule type="cellIs" dxfId="65" priority="8" operator="equal">
      <formula>"minor"</formula>
    </cfRule>
  </conditionalFormatting>
  <conditionalFormatting sqref="F2:H5 F6:G12 F13:H1048576 B2:B1048576 D2:D1048576">
    <cfRule type="expression" dxfId="64" priority="5">
      <formula>IF($B2&lt;&gt;"",MOD(ROW(),2)=0)</formula>
    </cfRule>
  </conditionalFormatting>
  <conditionalFormatting sqref="A3">
    <cfRule type="expression" dxfId="63" priority="4">
      <formula>IF($B3&lt;&gt;"",MOD(ROW(),2)=0)</formula>
    </cfRule>
  </conditionalFormatting>
  <conditionalFormatting sqref="H7:H12">
    <cfRule type="expression" dxfId="62" priority="12">
      <formula>IF($B6&lt;&gt;"",MOD(ROW(),2)=0)</formula>
    </cfRule>
  </conditionalFormatting>
  <conditionalFormatting sqref="H6">
    <cfRule type="expression" dxfId="61" priority="3">
      <formula>IF($B6&lt;&gt;"",MOD(ROW(),2)=0)</formula>
    </cfRule>
  </conditionalFormatting>
  <conditionalFormatting sqref="I58:I61">
    <cfRule type="containsText" dxfId="60" priority="1" stopIfTrue="1" operator="containsText" text="NG">
      <formula>NOT(ISERROR(SEARCH("NG",I58)))</formula>
    </cfRule>
    <cfRule type="containsText" dxfId="59" priority="2" stopIfTrue="1" operator="containsText" text="OK">
      <formula>NOT(ISERROR(SEARCH("OK",I58)))</formula>
    </cfRule>
  </conditionalFormatting>
  <dataValidations count="10">
    <dataValidation type="list" allowBlank="1" showInputMessage="1" showErrorMessage="1" promptTitle="ok;nok" sqref="F27:F30" xr:uid="{9CD77AD1-2AC8-45DA-9098-13BB4E2D1F8C}">
      <formula1>$B$175:$B$175</formula1>
    </dataValidation>
    <dataValidation type="list" allowBlank="1" showInputMessage="1" showErrorMessage="1" promptTitle="ok;nok" sqref="F10:F16" xr:uid="{B7B297EA-0930-4E36-9931-842C6D1B9703}">
      <formula1>$B$176:$B$176</formula1>
    </dataValidation>
    <dataValidation type="list" allowBlank="1" showInputMessage="1" showErrorMessage="1" sqref="E58:E61" xr:uid="{052FB62A-83AE-4B14-98FC-D66C7F78841F}">
      <formula1>$E$126:$E$130</formula1>
    </dataValidation>
    <dataValidation type="list" allowBlank="1" showInputMessage="1" showErrorMessage="1" promptTitle="ok;nok" sqref="F58:F61" xr:uid="{684CD581-3D8D-41B3-BFF1-E62788D00C93}">
      <formula1>$B$125:$B$126</formula1>
    </dataValidation>
    <dataValidation type="list" allowBlank="1" showInputMessage="1" sqref="E62:E1048576 E2:E57" xr:uid="{B04D1CC7-0A14-4A96-90E5-8DE22AAB6D23}">
      <formula1>$E$166:$E$168</formula1>
    </dataValidation>
    <dataValidation type="list" allowBlank="1" showInputMessage="1" showErrorMessage="1" promptTitle="ok;nok" sqref="F35:F39" xr:uid="{DE25E9B0-94AD-4DD4-B9B6-CB2EDF8B18B2}">
      <formula1>$B$169:$B$169</formula1>
    </dataValidation>
    <dataValidation type="list" allowBlank="1" showInputMessage="1" showErrorMessage="1" promptTitle="ok;nok" sqref="F134:F137 F122" xr:uid="{1B0E9F86-57DF-42E4-959E-16C3710A5A74}">
      <formula1>$B$186:$B$186</formula1>
    </dataValidation>
    <dataValidation type="list" allowBlank="1" showInputMessage="1" showErrorMessage="1" promptTitle="ok;nok" sqref="F147" xr:uid="{D6E7976D-96F1-43FE-882F-C5432D5AB4A9}">
      <formula1>$B$190:$B$190</formula1>
    </dataValidation>
    <dataValidation type="list" allowBlank="1" showInputMessage="1" showErrorMessage="1" promptTitle="ok;nok" sqref="F155" xr:uid="{A045B4B1-E1F8-40DA-8489-936D6BA6821F}">
      <formula1>$B$191:$B$191</formula1>
    </dataValidation>
    <dataValidation type="list" allowBlank="1" showInputMessage="1" showErrorMessage="1" promptTitle="ok;nok" sqref="F156:F160 F40:F57 F148:F154 F62:F121 F138:F146 F17:F26 F4:F9 F31:F34 F123:F133" xr:uid="{0BF3E235-E831-4D56-9868-3BFC0B4D00C3}">
      <formula1>$B$160:$B$160</formula1>
    </dataValidation>
  </dataValidations>
  <pageMargins left="0" right="0" top="0" bottom="0" header="0" footer="0"/>
  <pageSetup scale="43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60452-FCA5-4843-9672-17CAE35AF8F6}">
  <sheetPr codeName="Sheet1">
    <pageSetUpPr fitToPage="1"/>
  </sheetPr>
  <dimension ref="A1:AK48"/>
  <sheetViews>
    <sheetView showGridLines="0" view="pageBreakPreview" zoomScale="87" zoomScaleNormal="100" zoomScaleSheetLayoutView="87" workbookViewId="0">
      <selection activeCell="U12" sqref="U12"/>
    </sheetView>
  </sheetViews>
  <sheetFormatPr defaultRowHeight="14.4"/>
  <cols>
    <col min="1" max="1" width="1.88671875" customWidth="1"/>
    <col min="2" max="2" width="9.44140625" customWidth="1"/>
    <col min="3" max="3" width="1.33203125" customWidth="1"/>
    <col min="4" max="4" width="7.88671875" customWidth="1"/>
    <col min="5" max="5" width="1.6640625" customWidth="1"/>
    <col min="6" max="6" width="8.88671875" customWidth="1"/>
    <col min="7" max="7" width="2.44140625" customWidth="1"/>
    <col min="8" max="8" width="6.33203125" customWidth="1"/>
    <col min="9" max="9" width="5.5546875" customWidth="1"/>
    <col min="10" max="10" width="2.5546875" customWidth="1"/>
    <col min="11" max="11" width="11.5546875" customWidth="1"/>
    <col min="12" max="12" width="2" customWidth="1"/>
    <col min="13" max="13" width="14.33203125" customWidth="1"/>
    <col min="14" max="14" width="7.88671875" customWidth="1"/>
    <col min="15" max="15" width="2.33203125" customWidth="1"/>
    <col min="16" max="16" width="9.88671875" customWidth="1"/>
    <col min="17" max="17" width="6.44140625" customWidth="1"/>
    <col min="18" max="18" width="2.44140625" customWidth="1"/>
    <col min="19" max="19" width="1.109375" customWidth="1"/>
    <col min="20" max="20" width="2.6640625" customWidth="1"/>
    <col min="21" max="21" width="17.6640625" style="122" customWidth="1"/>
    <col min="22" max="22" width="0.5546875" customWidth="1"/>
    <col min="23" max="23" width="23.33203125" customWidth="1"/>
    <col min="24" max="35" width="9" customWidth="1"/>
    <col min="36" max="36" width="6.88671875" customWidth="1"/>
    <col min="37" max="37" width="7.88671875" customWidth="1"/>
  </cols>
  <sheetData>
    <row r="1" spans="1:37" ht="2.25" customHeight="1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37">
      <c r="A2" s="229" t="s">
        <v>452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U2" s="114"/>
    </row>
    <row r="3" spans="1:37" ht="23.25" customHeight="1">
      <c r="A3" s="230"/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</row>
    <row r="4" spans="1:37" ht="9" customHeight="1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</row>
    <row r="5" spans="1:37">
      <c r="A5" s="106"/>
      <c r="B5" s="106" t="s">
        <v>453</v>
      </c>
      <c r="C5" s="106"/>
      <c r="D5" s="106"/>
      <c r="E5" s="106"/>
      <c r="F5" s="106" t="s">
        <v>454</v>
      </c>
      <c r="G5" s="106"/>
      <c r="H5" s="106" t="s">
        <v>4</v>
      </c>
      <c r="I5" s="106"/>
      <c r="J5" s="106"/>
      <c r="K5" s="106" t="s">
        <v>2</v>
      </c>
      <c r="L5" s="106"/>
      <c r="M5" s="106"/>
      <c r="N5" s="106"/>
      <c r="O5" s="106"/>
      <c r="P5" s="106" t="s">
        <v>455</v>
      </c>
      <c r="Q5" s="106"/>
      <c r="R5" s="106"/>
      <c r="S5" s="106"/>
    </row>
    <row r="6" spans="1:37" ht="27" customHeight="1">
      <c r="A6" s="106"/>
      <c r="B6" s="106"/>
      <c r="C6" s="106"/>
      <c r="D6" s="106"/>
      <c r="E6" s="106"/>
      <c r="F6" s="106">
        <v>8.02</v>
      </c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U6" s="204"/>
      <c r="W6" t="s">
        <v>601</v>
      </c>
    </row>
    <row r="7" spans="1:37" ht="5.25" customHeight="1">
      <c r="A7" s="106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</row>
    <row r="8" spans="1:37" ht="17.399999999999999" customHeight="1">
      <c r="A8" s="106"/>
      <c r="B8" s="106" t="s">
        <v>458</v>
      </c>
      <c r="C8" s="106"/>
      <c r="D8" s="106" t="s">
        <v>459</v>
      </c>
      <c r="E8" s="106"/>
      <c r="F8" s="106" t="s">
        <v>457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U8" s="204"/>
    </row>
    <row r="9" spans="1:37" ht="17.100000000000001" customHeight="1">
      <c r="A9" s="106"/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</row>
    <row r="10" spans="1:37" ht="17.100000000000001" customHeight="1">
      <c r="A10" s="106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U10" s="200" t="s">
        <v>456</v>
      </c>
      <c r="V10" s="201"/>
      <c r="W10" s="203" t="s">
        <v>478</v>
      </c>
      <c r="X10" s="124" t="s">
        <v>479</v>
      </c>
      <c r="Y10" s="124" t="s">
        <v>480</v>
      </c>
      <c r="Z10" s="124" t="s">
        <v>481</v>
      </c>
      <c r="AA10" s="124" t="s">
        <v>482</v>
      </c>
      <c r="AB10" s="124" t="s">
        <v>483</v>
      </c>
      <c r="AC10" s="124" t="s">
        <v>484</v>
      </c>
      <c r="AD10" s="124" t="s">
        <v>485</v>
      </c>
      <c r="AE10" s="124" t="s">
        <v>486</v>
      </c>
      <c r="AF10" s="124" t="s">
        <v>487</v>
      </c>
      <c r="AG10" s="124" t="s">
        <v>488</v>
      </c>
      <c r="AH10" s="124" t="s">
        <v>489</v>
      </c>
      <c r="AI10" s="124" t="s">
        <v>490</v>
      </c>
      <c r="AJ10" s="124" t="s">
        <v>491</v>
      </c>
      <c r="AK10" s="125" t="s">
        <v>454</v>
      </c>
    </row>
    <row r="11" spans="1:37" ht="17.100000000000001" customHeight="1">
      <c r="A11" s="106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U11" s="123" t="s">
        <v>636</v>
      </c>
      <c r="V11" s="201"/>
      <c r="W11" s="202" t="s">
        <v>492</v>
      </c>
      <c r="X11" s="123" t="s">
        <v>493</v>
      </c>
      <c r="Y11" s="123" t="s">
        <v>494</v>
      </c>
      <c r="Z11" s="123" t="s">
        <v>495</v>
      </c>
      <c r="AA11" s="123" t="s">
        <v>496</v>
      </c>
      <c r="AB11" s="123" t="s">
        <v>497</v>
      </c>
      <c r="AC11" s="123" t="s">
        <v>498</v>
      </c>
      <c r="AD11" s="123"/>
      <c r="AE11" s="123"/>
      <c r="AF11" s="123"/>
      <c r="AG11" s="123"/>
      <c r="AH11" s="123"/>
      <c r="AI11" s="123"/>
      <c r="AJ11" s="123" t="s">
        <v>50</v>
      </c>
      <c r="AK11" s="125">
        <v>1</v>
      </c>
    </row>
    <row r="12" spans="1:37" ht="17.25" customHeight="1">
      <c r="A12" s="106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U12" s="123" t="s">
        <v>637</v>
      </c>
      <c r="V12" s="201"/>
      <c r="W12" s="202" t="s">
        <v>499</v>
      </c>
      <c r="X12" s="123" t="s">
        <v>500</v>
      </c>
      <c r="Y12" s="123" t="s">
        <v>501</v>
      </c>
      <c r="Z12" s="123" t="s">
        <v>502</v>
      </c>
      <c r="AA12" s="123" t="s">
        <v>503</v>
      </c>
      <c r="AB12" s="123" t="s">
        <v>504</v>
      </c>
      <c r="AC12" s="123" t="s">
        <v>505</v>
      </c>
      <c r="AD12" s="123" t="s">
        <v>506</v>
      </c>
      <c r="AE12" s="123" t="s">
        <v>507</v>
      </c>
      <c r="AF12" s="123" t="s">
        <v>508</v>
      </c>
      <c r="AG12" s="123" t="s">
        <v>509</v>
      </c>
      <c r="AH12" s="123" t="s">
        <v>510</v>
      </c>
      <c r="AI12" s="123" t="s">
        <v>511</v>
      </c>
      <c r="AJ12" s="123" t="s">
        <v>512</v>
      </c>
      <c r="AK12" s="125">
        <v>2</v>
      </c>
    </row>
    <row r="13" spans="1:37" ht="17.100000000000001" customHeight="1">
      <c r="A13" s="106"/>
      <c r="B13" s="226" t="s">
        <v>460</v>
      </c>
      <c r="C13" s="226"/>
      <c r="D13" s="22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U13" s="123" t="s">
        <v>638</v>
      </c>
      <c r="V13" s="201"/>
      <c r="W13" s="202" t="s">
        <v>513</v>
      </c>
      <c r="X13" s="123" t="s">
        <v>514</v>
      </c>
      <c r="Y13" s="123" t="s">
        <v>515</v>
      </c>
      <c r="Z13" s="123" t="s">
        <v>516</v>
      </c>
      <c r="AA13" s="123" t="s">
        <v>517</v>
      </c>
      <c r="AB13" s="123" t="s">
        <v>518</v>
      </c>
      <c r="AC13" s="123" t="s">
        <v>519</v>
      </c>
      <c r="AD13" s="123"/>
      <c r="AE13" s="123"/>
      <c r="AF13" s="123"/>
      <c r="AG13" s="123"/>
      <c r="AH13" s="123"/>
      <c r="AI13" s="123"/>
      <c r="AJ13" s="123" t="s">
        <v>50</v>
      </c>
      <c r="AK13" s="125">
        <v>3</v>
      </c>
    </row>
    <row r="14" spans="1:37" ht="17.100000000000001" customHeight="1">
      <c r="A14" s="106"/>
      <c r="B14" s="106"/>
      <c r="C14" s="106"/>
      <c r="D14" s="106"/>
      <c r="E14" s="106"/>
      <c r="F14" s="106" t="s">
        <v>461</v>
      </c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U14" s="123" t="s">
        <v>639</v>
      </c>
      <c r="V14" s="201"/>
      <c r="W14" s="202" t="s">
        <v>618</v>
      </c>
      <c r="X14" s="123" t="s">
        <v>520</v>
      </c>
      <c r="Y14" s="123" t="s">
        <v>521</v>
      </c>
      <c r="Z14" s="123" t="s">
        <v>522</v>
      </c>
      <c r="AA14" s="123" t="s">
        <v>523</v>
      </c>
      <c r="AB14" s="123"/>
      <c r="AC14" s="123"/>
      <c r="AD14" s="123"/>
      <c r="AE14" s="123"/>
      <c r="AF14" s="123"/>
      <c r="AG14" s="123"/>
      <c r="AH14" s="123"/>
      <c r="AI14" s="123"/>
      <c r="AJ14" s="123" t="s">
        <v>50</v>
      </c>
      <c r="AK14" s="125">
        <v>4</v>
      </c>
    </row>
    <row r="15" spans="1:37" ht="17.100000000000001" customHeight="1">
      <c r="A15" s="232" t="s">
        <v>602</v>
      </c>
      <c r="B15" s="232"/>
      <c r="C15" s="232"/>
      <c r="D15" s="232"/>
      <c r="E15" s="232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U15" s="123" t="s">
        <v>640</v>
      </c>
      <c r="V15" s="201"/>
      <c r="W15" s="202" t="s">
        <v>524</v>
      </c>
      <c r="X15" s="123" t="s">
        <v>525</v>
      </c>
      <c r="Y15" s="123" t="s">
        <v>526</v>
      </c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 t="s">
        <v>50</v>
      </c>
      <c r="AK15" s="125">
        <v>5</v>
      </c>
    </row>
    <row r="16" spans="1:37" ht="17.100000000000001" customHeight="1">
      <c r="A16" s="232"/>
      <c r="B16" s="232"/>
      <c r="C16" s="232"/>
      <c r="D16" s="232"/>
      <c r="E16" s="232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U16" s="123" t="s">
        <v>641</v>
      </c>
      <c r="V16" s="201"/>
      <c r="W16" s="202" t="s">
        <v>527</v>
      </c>
      <c r="X16" s="123" t="s">
        <v>528</v>
      </c>
      <c r="Y16" s="123" t="s">
        <v>529</v>
      </c>
      <c r="Z16" s="123" t="s">
        <v>530</v>
      </c>
      <c r="AA16" s="123" t="s">
        <v>531</v>
      </c>
      <c r="AB16" s="123" t="s">
        <v>532</v>
      </c>
      <c r="AC16" s="123">
        <v>3.07</v>
      </c>
      <c r="AD16" s="123" t="s">
        <v>534</v>
      </c>
      <c r="AE16" s="123"/>
      <c r="AF16" s="123"/>
      <c r="AG16" s="123"/>
      <c r="AH16" s="123"/>
      <c r="AI16" s="123"/>
      <c r="AJ16" s="123" t="s">
        <v>50</v>
      </c>
      <c r="AK16" s="125">
        <v>6</v>
      </c>
    </row>
    <row r="17" spans="1:37" ht="17.100000000000001" customHeight="1">
      <c r="A17" s="228"/>
      <c r="B17" s="228"/>
      <c r="C17" s="228"/>
      <c r="D17" s="228"/>
      <c r="E17" s="228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U17" s="123" t="s">
        <v>642</v>
      </c>
      <c r="V17" s="201"/>
      <c r="W17" s="202" t="s">
        <v>535</v>
      </c>
      <c r="X17" s="123" t="s">
        <v>536</v>
      </c>
      <c r="Y17" s="123" t="s">
        <v>537</v>
      </c>
      <c r="Z17" s="123" t="s">
        <v>538</v>
      </c>
      <c r="AA17" s="123" t="s">
        <v>539</v>
      </c>
      <c r="AB17" s="123"/>
      <c r="AC17" s="123"/>
      <c r="AD17" s="123"/>
      <c r="AE17" s="123"/>
      <c r="AF17" s="123"/>
      <c r="AG17" s="123"/>
      <c r="AH17" s="123"/>
      <c r="AI17" s="123"/>
      <c r="AJ17" s="123" t="s">
        <v>50</v>
      </c>
      <c r="AK17" s="125">
        <v>7</v>
      </c>
    </row>
    <row r="18" spans="1:37" ht="17.100000000000001" customHeight="1">
      <c r="A18" s="106"/>
      <c r="B18" s="107"/>
      <c r="C18" s="107"/>
      <c r="D18" s="107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U18" s="123" t="s">
        <v>643</v>
      </c>
      <c r="V18" s="201"/>
      <c r="W18" s="202" t="s">
        <v>540</v>
      </c>
      <c r="X18" s="123" t="s">
        <v>541</v>
      </c>
      <c r="Y18" s="123" t="s">
        <v>542</v>
      </c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 t="s">
        <v>50</v>
      </c>
      <c r="AK18" s="125">
        <v>8</v>
      </c>
    </row>
    <row r="19" spans="1:37" ht="17.100000000000001" customHeight="1">
      <c r="A19" s="106"/>
      <c r="B19" s="107"/>
      <c r="C19" s="107"/>
      <c r="D19" s="107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U19" s="123" t="s">
        <v>644</v>
      </c>
      <c r="V19" s="201"/>
      <c r="W19" s="202" t="s">
        <v>543</v>
      </c>
      <c r="X19" s="123" t="s">
        <v>544</v>
      </c>
      <c r="Y19" s="123" t="s">
        <v>545</v>
      </c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 t="s">
        <v>50</v>
      </c>
      <c r="AK19" s="125">
        <v>9</v>
      </c>
    </row>
    <row r="20" spans="1:37" ht="17.100000000000001" customHeight="1">
      <c r="A20" s="106"/>
      <c r="B20" s="107"/>
      <c r="C20" s="107"/>
      <c r="D20" s="107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U20" s="123" t="s">
        <v>645</v>
      </c>
      <c r="V20" s="201"/>
      <c r="W20" s="202" t="s">
        <v>546</v>
      </c>
      <c r="X20" s="123" t="s">
        <v>547</v>
      </c>
      <c r="Y20" s="123" t="s">
        <v>548</v>
      </c>
      <c r="Z20" s="123" t="s">
        <v>549</v>
      </c>
      <c r="AA20" s="123" t="s">
        <v>550</v>
      </c>
      <c r="AB20" s="123" t="s">
        <v>551</v>
      </c>
      <c r="AC20" s="123" t="s">
        <v>619</v>
      </c>
      <c r="AD20" s="123"/>
      <c r="AE20" s="123"/>
      <c r="AF20" s="123"/>
      <c r="AG20" s="123"/>
      <c r="AH20" s="123"/>
      <c r="AI20" s="123"/>
      <c r="AJ20" s="123" t="s">
        <v>50</v>
      </c>
      <c r="AK20" s="125">
        <v>10</v>
      </c>
    </row>
    <row r="21" spans="1:37" ht="17.100000000000001" customHeight="1">
      <c r="A21" s="106"/>
      <c r="B21" s="106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U21" s="123" t="s">
        <v>646</v>
      </c>
      <c r="V21" s="201"/>
      <c r="W21" s="202" t="s">
        <v>552</v>
      </c>
      <c r="X21" s="123" t="s">
        <v>553</v>
      </c>
      <c r="Y21" s="123" t="s">
        <v>554</v>
      </c>
      <c r="Z21" s="123" t="s">
        <v>555</v>
      </c>
      <c r="AA21" s="123" t="s">
        <v>556</v>
      </c>
      <c r="AB21" s="123" t="s">
        <v>557</v>
      </c>
      <c r="AC21" s="123" t="s">
        <v>558</v>
      </c>
      <c r="AD21" s="123"/>
      <c r="AE21" s="123"/>
      <c r="AF21" s="123"/>
      <c r="AG21" s="123"/>
      <c r="AH21" s="123"/>
      <c r="AI21" s="123"/>
      <c r="AJ21" s="123" t="s">
        <v>50</v>
      </c>
      <c r="AK21" s="125">
        <v>11</v>
      </c>
    </row>
    <row r="22" spans="1:37" ht="17.100000000000001" customHeight="1">
      <c r="A22" s="106"/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9" t="s">
        <v>463</v>
      </c>
      <c r="N22" s="106"/>
      <c r="O22" s="106"/>
      <c r="P22" s="106"/>
      <c r="Q22" s="106"/>
      <c r="R22" s="106"/>
      <c r="S22" s="106"/>
      <c r="U22" s="123" t="s">
        <v>647</v>
      </c>
      <c r="V22" s="201"/>
      <c r="W22" s="202" t="s">
        <v>559</v>
      </c>
      <c r="X22" s="123" t="s">
        <v>560</v>
      </c>
      <c r="Y22" s="123" t="s">
        <v>561</v>
      </c>
      <c r="Z22" s="123" t="s">
        <v>610</v>
      </c>
      <c r="AA22" s="123"/>
      <c r="AB22" s="123"/>
      <c r="AC22" s="123"/>
      <c r="AD22" s="123"/>
      <c r="AE22" s="123"/>
      <c r="AF22" s="123"/>
      <c r="AG22" s="123"/>
      <c r="AH22" s="123"/>
      <c r="AI22" s="123"/>
      <c r="AJ22" s="123" t="s">
        <v>50</v>
      </c>
      <c r="AK22" s="125">
        <v>12</v>
      </c>
    </row>
    <row r="23" spans="1:37" ht="19.5" customHeight="1">
      <c r="A23" s="106"/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U23" s="123" t="s">
        <v>648</v>
      </c>
      <c r="V23" s="201"/>
      <c r="W23" s="202" t="s">
        <v>562</v>
      </c>
      <c r="X23" s="123" t="s">
        <v>560</v>
      </c>
      <c r="Y23" s="123" t="s">
        <v>563</v>
      </c>
      <c r="Z23" s="123" t="s">
        <v>561</v>
      </c>
      <c r="AA23" s="123"/>
      <c r="AB23" s="123"/>
      <c r="AC23" s="123"/>
      <c r="AD23" s="123"/>
      <c r="AE23" s="123"/>
      <c r="AF23" s="123"/>
      <c r="AG23" s="123"/>
      <c r="AH23" s="123"/>
      <c r="AI23" s="123"/>
      <c r="AJ23" s="123" t="s">
        <v>50</v>
      </c>
      <c r="AK23" s="125">
        <v>13</v>
      </c>
    </row>
    <row r="24" spans="1:37" ht="18" customHeight="1">
      <c r="A24" s="106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10" t="s">
        <v>464</v>
      </c>
      <c r="N24" s="106"/>
      <c r="O24" s="106"/>
      <c r="P24" s="106"/>
      <c r="Q24" s="106"/>
      <c r="R24" s="106"/>
      <c r="S24" s="106"/>
      <c r="U24" s="123" t="s">
        <v>649</v>
      </c>
      <c r="V24" s="201"/>
      <c r="W24" s="202" t="s">
        <v>564</v>
      </c>
      <c r="X24" s="123" t="s">
        <v>560</v>
      </c>
      <c r="Y24" s="123" t="s">
        <v>563</v>
      </c>
      <c r="Z24" s="123" t="s">
        <v>561</v>
      </c>
      <c r="AA24" s="123"/>
      <c r="AB24" s="123"/>
      <c r="AC24" s="123"/>
      <c r="AD24" s="123"/>
      <c r="AE24" s="123"/>
      <c r="AF24" s="123"/>
      <c r="AG24" s="123"/>
      <c r="AH24" s="123"/>
      <c r="AI24" s="123"/>
      <c r="AJ24" s="123" t="s">
        <v>50</v>
      </c>
      <c r="AK24" s="125">
        <v>14</v>
      </c>
    </row>
    <row r="25" spans="1:37" ht="17.100000000000001" customHeight="1">
      <c r="A25" s="106"/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11" t="s">
        <v>465</v>
      </c>
      <c r="N25" s="112"/>
      <c r="O25" s="112"/>
      <c r="P25" s="231" t="s">
        <v>466</v>
      </c>
      <c r="Q25" s="231"/>
      <c r="R25" s="106"/>
      <c r="S25" s="106"/>
      <c r="U25" s="123" t="s">
        <v>650</v>
      </c>
      <c r="V25" s="201"/>
      <c r="W25" s="202" t="s">
        <v>565</v>
      </c>
      <c r="X25" s="123" t="s">
        <v>566</v>
      </c>
      <c r="Y25" s="123"/>
      <c r="Z25" s="123"/>
      <c r="AA25" s="123"/>
      <c r="AB25" s="123"/>
      <c r="AC25" s="123"/>
      <c r="AD25" s="123">
        <v>6.04</v>
      </c>
      <c r="AE25" s="123"/>
      <c r="AF25" s="123"/>
      <c r="AG25" s="123"/>
      <c r="AH25" s="123"/>
      <c r="AI25" s="123"/>
      <c r="AJ25" s="123" t="s">
        <v>50</v>
      </c>
      <c r="AK25" s="125">
        <v>15</v>
      </c>
    </row>
    <row r="26" spans="1:37" ht="17.100000000000001" customHeight="1">
      <c r="A26" s="106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U26" s="123" t="s">
        <v>651</v>
      </c>
      <c r="V26" s="201"/>
      <c r="W26" s="202" t="s">
        <v>567</v>
      </c>
      <c r="X26" s="123" t="s">
        <v>568</v>
      </c>
      <c r="Y26" s="123" t="s">
        <v>569</v>
      </c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 t="s">
        <v>50</v>
      </c>
      <c r="AK26" s="125">
        <v>16</v>
      </c>
    </row>
    <row r="27" spans="1:37" ht="17.100000000000001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U27" s="123" t="s">
        <v>652</v>
      </c>
      <c r="V27" s="201"/>
      <c r="W27" s="202" t="s">
        <v>570</v>
      </c>
      <c r="X27" s="123" t="s">
        <v>571</v>
      </c>
      <c r="Y27" s="123" t="s">
        <v>572</v>
      </c>
      <c r="Z27" s="123" t="s">
        <v>573</v>
      </c>
      <c r="AA27" s="123"/>
      <c r="AB27" s="123"/>
      <c r="AC27" s="123"/>
      <c r="AD27" s="123"/>
      <c r="AE27" s="123"/>
      <c r="AF27" s="123"/>
      <c r="AG27" s="123"/>
      <c r="AH27" s="123"/>
      <c r="AI27" s="123"/>
      <c r="AJ27" s="123" t="s">
        <v>50</v>
      </c>
      <c r="AK27" s="125">
        <v>17</v>
      </c>
    </row>
    <row r="28" spans="1:37" ht="17.100000000000001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U28" s="123" t="s">
        <v>653</v>
      </c>
      <c r="V28" s="201"/>
      <c r="W28" s="202" t="s">
        <v>574</v>
      </c>
      <c r="X28" s="123" t="s">
        <v>528</v>
      </c>
      <c r="Y28" s="123" t="s">
        <v>529</v>
      </c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 t="s">
        <v>50</v>
      </c>
      <c r="AK28" s="125">
        <v>18</v>
      </c>
    </row>
    <row r="29" spans="1:37" ht="17.100000000000001" customHeight="1">
      <c r="A29" s="106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226" t="s">
        <v>467</v>
      </c>
      <c r="N29" s="226"/>
      <c r="O29" s="226"/>
      <c r="P29" s="226"/>
      <c r="Q29" s="226"/>
      <c r="R29" s="106"/>
      <c r="S29" s="106"/>
      <c r="U29" s="123" t="s">
        <v>654</v>
      </c>
      <c r="V29" s="201"/>
      <c r="W29" s="202" t="s">
        <v>575</v>
      </c>
      <c r="X29" s="123" t="s">
        <v>576</v>
      </c>
      <c r="Y29" s="123" t="s">
        <v>577</v>
      </c>
      <c r="Z29" s="123" t="s">
        <v>578</v>
      </c>
      <c r="AA29" s="123"/>
      <c r="AB29" s="123"/>
      <c r="AC29" s="123"/>
      <c r="AD29" s="123"/>
      <c r="AE29" s="123"/>
      <c r="AF29" s="123"/>
      <c r="AG29" s="123"/>
      <c r="AH29" s="123"/>
      <c r="AI29" s="123"/>
      <c r="AJ29" s="123" t="s">
        <v>50</v>
      </c>
      <c r="AK29" s="125">
        <v>19</v>
      </c>
    </row>
    <row r="30" spans="1:37" ht="17.100000000000001" customHeight="1">
      <c r="A30" s="106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226" t="s">
        <v>468</v>
      </c>
      <c r="N30" s="226"/>
      <c r="O30" s="226"/>
      <c r="P30" s="226"/>
      <c r="Q30" s="226"/>
      <c r="R30" s="106"/>
      <c r="S30" s="106"/>
      <c r="U30" s="210" t="s">
        <v>655</v>
      </c>
      <c r="V30" s="201"/>
      <c r="W30" s="202" t="s">
        <v>579</v>
      </c>
      <c r="X30" s="123" t="s">
        <v>528</v>
      </c>
      <c r="Y30" s="123" t="s">
        <v>529</v>
      </c>
      <c r="Z30" s="123" t="s">
        <v>530</v>
      </c>
      <c r="AA30" s="123" t="s">
        <v>531</v>
      </c>
      <c r="AB30" s="123" t="s">
        <v>532</v>
      </c>
      <c r="AC30" s="123" t="s">
        <v>533</v>
      </c>
      <c r="AD30" s="123" t="s">
        <v>580</v>
      </c>
      <c r="AE30" s="123" t="s">
        <v>581</v>
      </c>
      <c r="AF30" s="123" t="s">
        <v>582</v>
      </c>
      <c r="AG30" s="123"/>
      <c r="AH30" s="123"/>
      <c r="AI30" s="123"/>
      <c r="AJ30" s="123" t="s">
        <v>50</v>
      </c>
      <c r="AK30" s="125">
        <v>20</v>
      </c>
    </row>
    <row r="31" spans="1:37" ht="17.100000000000001" customHeight="1">
      <c r="A31" s="106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226" t="s">
        <v>469</v>
      </c>
      <c r="N31" s="226"/>
      <c r="O31" s="226"/>
      <c r="P31" s="226"/>
      <c r="Q31" s="226"/>
      <c r="R31" s="106"/>
      <c r="S31" s="106"/>
      <c r="U31" s="123" t="s">
        <v>656</v>
      </c>
      <c r="V31" s="201"/>
      <c r="W31" s="202" t="s">
        <v>583</v>
      </c>
      <c r="X31" s="123" t="s">
        <v>584</v>
      </c>
      <c r="Y31" s="123" t="s">
        <v>585</v>
      </c>
      <c r="Z31" s="123" t="s">
        <v>586</v>
      </c>
      <c r="AA31" s="123" t="s">
        <v>587</v>
      </c>
      <c r="AB31" s="123" t="s">
        <v>588</v>
      </c>
      <c r="AC31" s="123"/>
      <c r="AD31" s="123"/>
      <c r="AE31" s="123"/>
      <c r="AF31" s="123"/>
      <c r="AG31" s="123"/>
      <c r="AH31" s="123"/>
      <c r="AI31" s="123"/>
      <c r="AJ31" s="123" t="s">
        <v>50</v>
      </c>
      <c r="AK31" s="125">
        <v>21</v>
      </c>
    </row>
    <row r="32" spans="1:37" ht="17.100000000000001" customHeight="1">
      <c r="A32" s="106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227"/>
      <c r="N32" s="227"/>
      <c r="O32" s="227"/>
      <c r="P32" s="227"/>
      <c r="Q32" s="227"/>
      <c r="R32" s="227"/>
      <c r="S32" s="106"/>
      <c r="U32" s="123" t="s">
        <v>657</v>
      </c>
      <c r="V32" s="201"/>
      <c r="W32" s="202" t="s">
        <v>589</v>
      </c>
      <c r="X32" s="123" t="s">
        <v>590</v>
      </c>
      <c r="Y32" s="123" t="s">
        <v>591</v>
      </c>
      <c r="Z32" s="123" t="s">
        <v>592</v>
      </c>
      <c r="AA32" s="123"/>
      <c r="AB32" s="123"/>
      <c r="AC32" s="123"/>
      <c r="AD32" s="123"/>
      <c r="AE32" s="123"/>
      <c r="AF32" s="123"/>
      <c r="AG32" s="123"/>
      <c r="AH32" s="123"/>
      <c r="AI32" s="123"/>
      <c r="AJ32" s="123" t="s">
        <v>50</v>
      </c>
      <c r="AK32" s="125">
        <v>22</v>
      </c>
    </row>
    <row r="33" spans="1:23">
      <c r="A33" s="108"/>
      <c r="W33" s="97"/>
    </row>
    <row r="37" spans="1:23">
      <c r="M37" s="113"/>
    </row>
    <row r="48" spans="1:23">
      <c r="Q48" s="180"/>
    </row>
  </sheetData>
  <sheetProtection sheet="1" objects="1" selectLockedCells="1" sort="0" autoFilter="0" pivotTables="0"/>
  <mergeCells count="9">
    <mergeCell ref="M31:Q31"/>
    <mergeCell ref="M32:R32"/>
    <mergeCell ref="B13:D13"/>
    <mergeCell ref="A17:E17"/>
    <mergeCell ref="A2:S3"/>
    <mergeCell ref="P25:Q25"/>
    <mergeCell ref="M29:Q29"/>
    <mergeCell ref="M30:Q30"/>
    <mergeCell ref="A15:E16"/>
  </mergeCells>
  <phoneticPr fontId="33" type="noConversion"/>
  <pageMargins left="0.25" right="0.25" top="0.75" bottom="0.75" header="0.3" footer="0.3"/>
  <pageSetup scale="8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115" r:id="rId4" name="ALL">
          <controlPr locked="0" defaultSize="0" autoLine="0" r:id="rId5">
            <anchor moveWithCells="1">
              <from>
                <xdr:col>3</xdr:col>
                <xdr:colOff>76200</xdr:colOff>
                <xdr:row>11</xdr:row>
                <xdr:rowOff>83820</xdr:rowOff>
              </from>
              <to>
                <xdr:col>3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2115" r:id="rId4" name="ALL"/>
      </mc:Fallback>
    </mc:AlternateContent>
    <mc:AlternateContent xmlns:mc="http://schemas.openxmlformats.org/markup-compatibility/2006">
      <mc:Choice Requires="x14">
        <control shapeId="2114" r:id="rId6" name="Monitoring">
          <controlPr locked="0" defaultSize="0" autoLine="0" autoPict="0" r:id="rId7">
            <anchor moveWithCells="1">
              <from>
                <xdr:col>1</xdr:col>
                <xdr:colOff>236220</xdr:colOff>
                <xdr:row>19</xdr:row>
                <xdr:rowOff>45720</xdr:rowOff>
              </from>
              <to>
                <xdr:col>3</xdr:col>
                <xdr:colOff>342900</xdr:colOff>
                <xdr:row>20</xdr:row>
                <xdr:rowOff>106680</xdr:rowOff>
              </to>
            </anchor>
          </controlPr>
        </control>
      </mc:Choice>
      <mc:Fallback>
        <control shapeId="2114" r:id="rId6" name="Monitoring"/>
      </mc:Fallback>
    </mc:AlternateContent>
    <mc:AlternateContent xmlns:mc="http://schemas.openxmlformats.org/markup-compatibility/2006">
      <mc:Choice Requires="x14">
        <control shapeId="2113" r:id="rId8" name="Closed">
          <controlPr locked="0" defaultSize="0" autoLine="0" autoPict="0" r:id="rId9">
            <anchor moveWithCells="1">
              <from>
                <xdr:col>1</xdr:col>
                <xdr:colOff>236220</xdr:colOff>
                <xdr:row>15</xdr:row>
                <xdr:rowOff>114300</xdr:rowOff>
              </from>
              <to>
                <xdr:col>3</xdr:col>
                <xdr:colOff>342900</xdr:colOff>
                <xdr:row>16</xdr:row>
                <xdr:rowOff>175260</xdr:rowOff>
              </to>
            </anchor>
          </controlPr>
        </control>
      </mc:Choice>
      <mc:Fallback>
        <control shapeId="2113" r:id="rId8" name="Closed"/>
      </mc:Fallback>
    </mc:AlternateContent>
    <mc:AlternateContent xmlns:mc="http://schemas.openxmlformats.org/markup-compatibility/2006">
      <mc:Choice Requires="x14">
        <control shapeId="2112" r:id="rId10" name="Opened">
          <controlPr locked="0" defaultSize="0" autoLine="0" autoPict="0" r:id="rId11">
            <anchor moveWithCells="1">
              <from>
                <xdr:col>1</xdr:col>
                <xdr:colOff>236220</xdr:colOff>
                <xdr:row>17</xdr:row>
                <xdr:rowOff>76200</xdr:rowOff>
              </from>
              <to>
                <xdr:col>3</xdr:col>
                <xdr:colOff>342900</xdr:colOff>
                <xdr:row>18</xdr:row>
                <xdr:rowOff>137160</xdr:rowOff>
              </to>
            </anchor>
          </controlPr>
        </control>
      </mc:Choice>
      <mc:Fallback>
        <control shapeId="2112" r:id="rId10" name="Opened"/>
      </mc:Fallback>
    </mc:AlternateContent>
    <mc:AlternateContent xmlns:mc="http://schemas.openxmlformats.org/markup-compatibility/2006">
      <mc:Choice Requires="x14">
        <control shapeId="2073" r:id="rId12" name="ComBox">
          <controlPr locked="0" defaultSize="0" autoLine="0" autoPict="0" r:id="rId13">
            <anchor moveWithCells="1" sizeWithCells="1">
              <from>
                <xdr:col>5</xdr:col>
                <xdr:colOff>30480</xdr:colOff>
                <xdr:row>14</xdr:row>
                <xdr:rowOff>45720</xdr:rowOff>
              </from>
              <to>
                <xdr:col>16</xdr:col>
                <xdr:colOff>419100</xdr:colOff>
                <xdr:row>20</xdr:row>
                <xdr:rowOff>106680</xdr:rowOff>
              </to>
            </anchor>
          </controlPr>
        </control>
      </mc:Choice>
      <mc:Fallback>
        <control shapeId="2073" r:id="rId12" name="ComBox"/>
      </mc:Fallback>
    </mc:AlternateContent>
    <mc:AlternateContent xmlns:mc="http://schemas.openxmlformats.org/markup-compatibility/2006">
      <mc:Choice Requires="x14">
        <control shapeId="2072" r:id="rId14" name="ItemBox">
          <controlPr locked="0" defaultSize="0" autoLine="0" autoPict="0" r:id="rId15">
            <anchor>
              <from>
                <xdr:col>5</xdr:col>
                <xdr:colOff>121920</xdr:colOff>
                <xdr:row>7</xdr:row>
                <xdr:rowOff>190500</xdr:rowOff>
              </from>
              <to>
                <xdr:col>17</xdr:col>
                <xdr:colOff>99060</xdr:colOff>
                <xdr:row>13</xdr:row>
                <xdr:rowOff>22860</xdr:rowOff>
              </to>
            </anchor>
          </controlPr>
        </control>
      </mc:Choice>
      <mc:Fallback>
        <control shapeId="2072" r:id="rId14" name="ItemBox"/>
      </mc:Fallback>
    </mc:AlternateContent>
    <mc:AlternateContent xmlns:mc="http://schemas.openxmlformats.org/markup-compatibility/2006">
      <mc:Choice Requires="x14">
        <control shapeId="2070" r:id="rId16" name="SevereBox">
          <controlPr locked="0" defaultSize="0" autoLine="0" autoPict="0" r:id="rId17">
            <anchor>
              <from>
                <xdr:col>7</xdr:col>
                <xdr:colOff>68580</xdr:colOff>
                <xdr:row>5</xdr:row>
                <xdr:rowOff>45720</xdr:rowOff>
              </from>
              <to>
                <xdr:col>9</xdr:col>
                <xdr:colOff>106680</xdr:colOff>
                <xdr:row>5</xdr:row>
                <xdr:rowOff>327660</xdr:rowOff>
              </to>
            </anchor>
          </controlPr>
        </control>
      </mc:Choice>
      <mc:Fallback>
        <control shapeId="2070" r:id="rId16" name="SevereBox"/>
      </mc:Fallback>
    </mc:AlternateContent>
    <mc:AlternateContent xmlns:mc="http://schemas.openxmlformats.org/markup-compatibility/2006">
      <mc:Choice Requires="x14">
        <control shapeId="2069" r:id="rId18" name="IPQCNo">
          <controlPr locked="0" defaultSize="0" autoLine="0" r:id="rId19">
            <anchor>
              <from>
                <xdr:col>5</xdr:col>
                <xdr:colOff>30480</xdr:colOff>
                <xdr:row>5</xdr:row>
                <xdr:rowOff>45720</xdr:rowOff>
              </from>
              <to>
                <xdr:col>6</xdr:col>
                <xdr:colOff>129540</xdr:colOff>
                <xdr:row>5</xdr:row>
                <xdr:rowOff>335280</xdr:rowOff>
              </to>
            </anchor>
          </controlPr>
        </control>
      </mc:Choice>
      <mc:Fallback>
        <control shapeId="2069" r:id="rId18" name="IPQCNo"/>
      </mc:Fallback>
    </mc:AlternateContent>
    <mc:AlternateContent xmlns:mc="http://schemas.openxmlformats.org/markup-compatibility/2006">
      <mc:Choice Requires="x14">
        <control shapeId="2068" r:id="rId20" name="AuditorBox">
          <controlPr locked="0" defaultSize="0" autoLine="0" r:id="rId21">
            <anchor>
              <from>
                <xdr:col>0</xdr:col>
                <xdr:colOff>106680</xdr:colOff>
                <xdr:row>5</xdr:row>
                <xdr:rowOff>60960</xdr:rowOff>
              </from>
              <to>
                <xdr:col>4</xdr:col>
                <xdr:colOff>7620</xdr:colOff>
                <xdr:row>6</xdr:row>
                <xdr:rowOff>7620</xdr:rowOff>
              </to>
            </anchor>
          </controlPr>
        </control>
      </mc:Choice>
      <mc:Fallback>
        <control shapeId="2068" r:id="rId20" name="AuditorBox"/>
      </mc:Fallback>
    </mc:AlternateContent>
    <mc:AlternateContent xmlns:mc="http://schemas.openxmlformats.org/markup-compatibility/2006">
      <mc:Choice Requires="x14">
        <control shapeId="2067" r:id="rId22" name="Datebox">
          <controlPr locked="0" defaultSize="0" autoLine="0" autoPict="0" r:id="rId23">
            <anchor>
              <from>
                <xdr:col>15</xdr:col>
                <xdr:colOff>60960</xdr:colOff>
                <xdr:row>5</xdr:row>
                <xdr:rowOff>45720</xdr:rowOff>
              </from>
              <to>
                <xdr:col>17</xdr:col>
                <xdr:colOff>22860</xdr:colOff>
                <xdr:row>5</xdr:row>
                <xdr:rowOff>327660</xdr:rowOff>
              </to>
            </anchor>
          </controlPr>
        </control>
      </mc:Choice>
      <mc:Fallback>
        <control shapeId="2067" r:id="rId22" name="Datebox"/>
      </mc:Fallback>
    </mc:AlternateContent>
    <mc:AlternateContent xmlns:mc="http://schemas.openxmlformats.org/markup-compatibility/2006">
      <mc:Choice Requires="x14">
        <control shapeId="2064" r:id="rId24" name="MachineBox">
          <controlPr locked="0" defaultSize="0" autoLine="0" autoPict="0" r:id="rId25">
            <anchor moveWithCells="1">
              <from>
                <xdr:col>1</xdr:col>
                <xdr:colOff>7620</xdr:colOff>
                <xdr:row>13</xdr:row>
                <xdr:rowOff>0</xdr:rowOff>
              </from>
              <to>
                <xdr:col>4</xdr:col>
                <xdr:colOff>45720</xdr:colOff>
                <xdr:row>14</xdr:row>
                <xdr:rowOff>60960</xdr:rowOff>
              </to>
            </anchor>
          </controlPr>
        </control>
      </mc:Choice>
      <mc:Fallback>
        <control shapeId="2064" r:id="rId24" name="MachineBox"/>
      </mc:Fallback>
    </mc:AlternateContent>
    <mc:AlternateContent xmlns:mc="http://schemas.openxmlformats.org/markup-compatibility/2006">
      <mc:Choice Requires="x14">
        <control shapeId="2059" r:id="rId26" name="D">
          <controlPr locked="0" defaultSize="0" autoLine="0" r:id="rId27">
            <anchor moveWithCells="1">
              <from>
                <xdr:col>1</xdr:col>
                <xdr:colOff>76200</xdr:colOff>
                <xdr:row>11</xdr:row>
                <xdr:rowOff>83820</xdr:rowOff>
              </from>
              <to>
                <xdr:col>1</xdr:col>
                <xdr:colOff>243840</xdr:colOff>
                <xdr:row>12</xdr:row>
                <xdr:rowOff>15240</xdr:rowOff>
              </to>
            </anchor>
          </controlPr>
        </control>
      </mc:Choice>
      <mc:Fallback>
        <control shapeId="2059" r:id="rId26" name="D"/>
      </mc:Fallback>
    </mc:AlternateContent>
    <mc:AlternateContent xmlns:mc="http://schemas.openxmlformats.org/markup-compatibility/2006">
      <mc:Choice Requires="x14">
        <control shapeId="2058" r:id="rId28" name="C">
          <controlPr locked="0" defaultSize="0" autoLine="0" r:id="rId29">
            <anchor moveWithCells="1">
              <from>
                <xdr:col>1</xdr:col>
                <xdr:colOff>76200</xdr:colOff>
                <xdr:row>10</xdr:row>
                <xdr:rowOff>91440</xdr:rowOff>
              </from>
              <to>
                <xdr:col>1</xdr:col>
                <xdr:colOff>243840</xdr:colOff>
                <xdr:row>11</xdr:row>
                <xdr:rowOff>7620</xdr:rowOff>
              </to>
            </anchor>
          </controlPr>
        </control>
      </mc:Choice>
      <mc:Fallback>
        <control shapeId="2058" r:id="rId28" name="C"/>
      </mc:Fallback>
    </mc:AlternateContent>
    <mc:AlternateContent xmlns:mc="http://schemas.openxmlformats.org/markup-compatibility/2006">
      <mc:Choice Requires="x14">
        <control shapeId="2057" r:id="rId30" name="B">
          <controlPr locked="0" defaultSize="0" autoLine="0" r:id="rId31">
            <anchor moveWithCells="1">
              <from>
                <xdr:col>1</xdr:col>
                <xdr:colOff>76200</xdr:colOff>
                <xdr:row>9</xdr:row>
                <xdr:rowOff>91440</xdr:rowOff>
              </from>
              <to>
                <xdr:col>1</xdr:col>
                <xdr:colOff>243840</xdr:colOff>
                <xdr:row>10</xdr:row>
                <xdr:rowOff>22860</xdr:rowOff>
              </to>
            </anchor>
          </controlPr>
        </control>
      </mc:Choice>
      <mc:Fallback>
        <control shapeId="2057" r:id="rId30" name="B"/>
      </mc:Fallback>
    </mc:AlternateContent>
    <mc:AlternateContent xmlns:mc="http://schemas.openxmlformats.org/markup-compatibility/2006">
      <mc:Choice Requires="x14">
        <control shapeId="2056" r:id="rId32" name="A">
          <controlPr locked="0" defaultSize="0" autoLine="0" r:id="rId31">
            <anchor moveWithCells="1">
              <from>
                <xdr:col>1</xdr:col>
                <xdr:colOff>76200</xdr:colOff>
                <xdr:row>8</xdr:row>
                <xdr:rowOff>91440</xdr:rowOff>
              </from>
              <to>
                <xdr:col>1</xdr:col>
                <xdr:colOff>243840</xdr:colOff>
                <xdr:row>9</xdr:row>
                <xdr:rowOff>22860</xdr:rowOff>
              </to>
            </anchor>
          </controlPr>
        </control>
      </mc:Choice>
      <mc:Fallback>
        <control shapeId="2056" r:id="rId32" name="A"/>
      </mc:Fallback>
    </mc:AlternateContent>
    <mc:AlternateContent xmlns:mc="http://schemas.openxmlformats.org/markup-compatibility/2006">
      <mc:Choice Requires="x14">
        <control shapeId="2055" r:id="rId33" name="JohnCena">
          <controlPr defaultSize="0" autoLine="0" autoPict="0" r:id="rId34">
            <anchor moveWithCells="1">
              <from>
                <xdr:col>19</xdr:col>
                <xdr:colOff>99060</xdr:colOff>
                <xdr:row>1</xdr:row>
                <xdr:rowOff>0</xdr:rowOff>
              </from>
              <to>
                <xdr:col>22</xdr:col>
                <xdr:colOff>1531620</xdr:colOff>
                <xdr:row>2</xdr:row>
                <xdr:rowOff>68580</xdr:rowOff>
              </to>
            </anchor>
          </controlPr>
        </control>
      </mc:Choice>
      <mc:Fallback>
        <control shapeId="2055" r:id="rId33" name="JohnCena"/>
      </mc:Fallback>
    </mc:AlternateContent>
    <mc:AlternateContent xmlns:mc="http://schemas.openxmlformats.org/markup-compatibility/2006">
      <mc:Choice Requires="x14">
        <control shapeId="2050" r:id="rId35" name="Record">
          <controlPr locked="0" defaultSize="0" autoLine="0" autoPict="0" r:id="rId36">
            <anchor moveWithCells="1">
              <from>
                <xdr:col>12</xdr:col>
                <xdr:colOff>45720</xdr:colOff>
                <xdr:row>25</xdr:row>
                <xdr:rowOff>198120</xdr:rowOff>
              </from>
              <to>
                <xdr:col>16</xdr:col>
                <xdr:colOff>373380</xdr:colOff>
                <xdr:row>27</xdr:row>
                <xdr:rowOff>160020</xdr:rowOff>
              </to>
            </anchor>
          </controlPr>
        </control>
      </mc:Choice>
      <mc:Fallback>
        <control shapeId="2050" r:id="rId35" name="Record"/>
      </mc:Fallback>
    </mc:AlternateContent>
    <mc:AlternateContent xmlns:mc="http://schemas.openxmlformats.org/markup-compatibility/2006">
      <mc:Choice Requires="x14">
        <control shapeId="2074" r:id="rId37" name="ProcessBox">
          <controlPr locked="0" defaultSize="0" autoLine="0" autoPict="0" r:id="rId38">
            <anchor>
              <from>
                <xdr:col>10</xdr:col>
                <xdr:colOff>60960</xdr:colOff>
                <xdr:row>5</xdr:row>
                <xdr:rowOff>45720</xdr:rowOff>
              </from>
              <to>
                <xdr:col>14</xdr:col>
                <xdr:colOff>83820</xdr:colOff>
                <xdr:row>5</xdr:row>
                <xdr:rowOff>327660</xdr:rowOff>
              </to>
            </anchor>
          </controlPr>
        </control>
      </mc:Choice>
      <mc:Fallback>
        <control shapeId="2074" r:id="rId37" name="ProcessBox"/>
      </mc:Fallback>
    </mc:AlternateContent>
    <mc:AlternateContent xmlns:mc="http://schemas.openxmlformats.org/markup-compatibility/2006">
      <mc:Choice Requires="x14">
        <control shapeId="2094" r:id="rId39" name="ContactPIC">
          <controlPr locked="0" defaultSize="0" autoLine="0" autoPict="0" r:id="rId40">
            <anchor moveWithCells="1">
              <from>
                <xdr:col>12</xdr:col>
                <xdr:colOff>45720</xdr:colOff>
                <xdr:row>21</xdr:row>
                <xdr:rowOff>190500</xdr:rowOff>
              </from>
              <to>
                <xdr:col>17</xdr:col>
                <xdr:colOff>22860</xdr:colOff>
                <xdr:row>23</xdr:row>
                <xdr:rowOff>0</xdr:rowOff>
              </to>
            </anchor>
          </controlPr>
        </control>
      </mc:Choice>
      <mc:Fallback>
        <control shapeId="2094" r:id="rId39" name="ContactPIC"/>
      </mc:Fallback>
    </mc:AlternateContent>
    <mc:AlternateContent xmlns:mc="http://schemas.openxmlformats.org/markup-compatibility/2006">
      <mc:Choice Requires="x14">
        <control shapeId="2095" r:id="rId41" name="ContactTeam">
          <controlPr locked="0" defaultSize="0" autoLine="0" autoPict="0" r:id="rId42">
            <anchor moveWithCells="1">
              <from>
                <xdr:col>12</xdr:col>
                <xdr:colOff>60960</xdr:colOff>
                <xdr:row>24</xdr:row>
                <xdr:rowOff>0</xdr:rowOff>
              </from>
              <to>
                <xdr:col>17</xdr:col>
                <xdr:colOff>22860</xdr:colOff>
                <xdr:row>25</xdr:row>
                <xdr:rowOff>60960</xdr:rowOff>
              </to>
            </anchor>
          </controlPr>
        </control>
      </mc:Choice>
      <mc:Fallback>
        <control shapeId="2095" r:id="rId41" name="ContactTeam"/>
      </mc:Fallback>
    </mc:AlternateContent>
    <mc:AlternateContent xmlns:mc="http://schemas.openxmlformats.org/markup-compatibility/2006">
      <mc:Choice Requires="x14">
        <control shapeId="2096" r:id="rId43" name="E01">
          <controlPr locked="0" defaultSize="0" autoLine="0" r:id="rId44">
            <anchor moveWithCells="1">
              <from>
                <xdr:col>3</xdr:col>
                <xdr:colOff>68580</xdr:colOff>
                <xdr:row>8</xdr:row>
                <xdr:rowOff>60960</xdr:rowOff>
              </from>
              <to>
                <xdr:col>3</xdr:col>
                <xdr:colOff>335280</xdr:colOff>
                <xdr:row>9</xdr:row>
                <xdr:rowOff>68580</xdr:rowOff>
              </to>
            </anchor>
          </controlPr>
        </control>
      </mc:Choice>
      <mc:Fallback>
        <control shapeId="2096" r:id="rId43" name="E01"/>
      </mc:Fallback>
    </mc:AlternateContent>
    <mc:AlternateContent xmlns:mc="http://schemas.openxmlformats.org/markup-compatibility/2006">
      <mc:Choice Requires="x14">
        <control shapeId="2099" r:id="rId45" name="E02">
          <controlPr locked="0" defaultSize="0" autoLine="0" r:id="rId46">
            <anchor moveWithCells="1">
              <from>
                <xdr:col>3</xdr:col>
                <xdr:colOff>68580</xdr:colOff>
                <xdr:row>9</xdr:row>
                <xdr:rowOff>60960</xdr:rowOff>
              </from>
              <to>
                <xdr:col>3</xdr:col>
                <xdr:colOff>335280</xdr:colOff>
                <xdr:row>10</xdr:row>
                <xdr:rowOff>68580</xdr:rowOff>
              </to>
            </anchor>
          </controlPr>
        </control>
      </mc:Choice>
      <mc:Fallback>
        <control shapeId="2099" r:id="rId45" name="E02"/>
      </mc:Fallback>
    </mc:AlternateContent>
    <mc:AlternateContent xmlns:mc="http://schemas.openxmlformats.org/markup-compatibility/2006">
      <mc:Choice Requires="x14">
        <control shapeId="2100" r:id="rId47" name="E03">
          <controlPr locked="0" defaultSize="0" autoLine="0" r:id="rId46">
            <anchor moveWithCells="1">
              <from>
                <xdr:col>3</xdr:col>
                <xdr:colOff>68580</xdr:colOff>
                <xdr:row>10</xdr:row>
                <xdr:rowOff>38100</xdr:rowOff>
              </from>
              <to>
                <xdr:col>3</xdr:col>
                <xdr:colOff>335280</xdr:colOff>
                <xdr:row>11</xdr:row>
                <xdr:rowOff>45720</xdr:rowOff>
              </to>
            </anchor>
          </controlPr>
        </control>
      </mc:Choice>
      <mc:Fallback>
        <control shapeId="2100" r:id="rId47" name="E03"/>
      </mc:Fallback>
    </mc:AlternateContent>
    <mc:AlternateContent xmlns:mc="http://schemas.openxmlformats.org/markup-compatibility/2006">
      <mc:Choice Requires="x14">
        <control shapeId="2116" r:id="rId48" name="CommandButton1">
          <controlPr defaultSize="0" autoLine="0" autoPict="0" r:id="rId49">
            <anchor moveWithCells="1">
              <from>
                <xdr:col>20</xdr:col>
                <xdr:colOff>0</xdr:colOff>
                <xdr:row>4</xdr:row>
                <xdr:rowOff>7620</xdr:rowOff>
              </from>
              <to>
                <xdr:col>21</xdr:col>
                <xdr:colOff>7620</xdr:colOff>
                <xdr:row>5</xdr:row>
                <xdr:rowOff>274320</xdr:rowOff>
              </to>
            </anchor>
          </controlPr>
        </control>
      </mc:Choice>
      <mc:Fallback>
        <control shapeId="2116" r:id="rId48" name="CommandButton1"/>
      </mc:Fallback>
    </mc:AlternateContent>
  </controls>
  <tableParts count="2">
    <tablePart r:id="rId50"/>
    <tablePart r:id="rId5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486BA-FF12-498E-8065-56324ECE7D2D}">
  <sheetPr codeName="Sheet4"/>
  <dimension ref="A1:U2"/>
  <sheetViews>
    <sheetView tabSelected="1" zoomScale="64" zoomScaleNormal="64" workbookViewId="0">
      <pane ySplit="1" topLeftCell="A2" activePane="bottomLeft" state="frozen"/>
      <selection pane="bottomLeft" activeCell="D2" sqref="D2"/>
    </sheetView>
  </sheetViews>
  <sheetFormatPr defaultRowHeight="30" customHeight="1"/>
  <cols>
    <col min="1" max="1" width="15.44140625" bestFit="1" customWidth="1"/>
    <col min="2" max="2" width="10.109375" bestFit="1" customWidth="1"/>
    <col min="3" max="3" width="11.5546875" customWidth="1"/>
    <col min="4" max="4" width="60" customWidth="1"/>
    <col min="5" max="5" width="10.33203125" bestFit="1" customWidth="1"/>
    <col min="6" max="6" width="11.109375" customWidth="1"/>
    <col min="7" max="7" width="9" customWidth="1"/>
    <col min="8" max="8" width="6.88671875" customWidth="1"/>
    <col min="9" max="9" width="7" customWidth="1"/>
    <col min="10" max="10" width="5.88671875" customWidth="1"/>
    <col min="11" max="11" width="6.88671875" customWidth="1"/>
    <col min="12" max="12" width="10.6640625" customWidth="1"/>
    <col min="13" max="13" width="7.88671875" style="96" customWidth="1"/>
    <col min="14" max="14" width="31.33203125" bestFit="1" customWidth="1"/>
    <col min="15" max="15" width="57.6640625" customWidth="1"/>
    <col min="16" max="16" width="6.6640625" customWidth="1"/>
    <col min="17" max="17" width="17.33203125" customWidth="1"/>
    <col min="18" max="18" width="11.88671875" customWidth="1"/>
    <col min="19" max="19" width="13.109375" customWidth="1"/>
    <col min="20" max="20" width="9.44140625" customWidth="1"/>
    <col min="21" max="21" width="6.33203125" customWidth="1"/>
  </cols>
  <sheetData>
    <row r="1" spans="1:21" ht="20.100000000000001" customHeight="1" thickBot="1">
      <c r="A1" s="195" t="s">
        <v>455</v>
      </c>
      <c r="B1" s="195" t="s">
        <v>3</v>
      </c>
      <c r="C1" s="195" t="s">
        <v>4</v>
      </c>
      <c r="D1" s="195" t="s">
        <v>620</v>
      </c>
      <c r="E1" s="195" t="s">
        <v>470</v>
      </c>
      <c r="F1" s="195" t="s">
        <v>471</v>
      </c>
      <c r="G1" s="195" t="s">
        <v>472</v>
      </c>
      <c r="H1" s="195" t="s">
        <v>473</v>
      </c>
      <c r="I1" s="195" t="s">
        <v>475</v>
      </c>
      <c r="J1" s="195" t="s">
        <v>476</v>
      </c>
      <c r="K1" s="195" t="s">
        <v>477</v>
      </c>
      <c r="L1" s="195" t="s">
        <v>603</v>
      </c>
      <c r="M1" s="195" t="s">
        <v>604</v>
      </c>
      <c r="N1" s="195" t="s">
        <v>605</v>
      </c>
      <c r="O1" s="195" t="s">
        <v>606</v>
      </c>
      <c r="P1" s="195" t="s">
        <v>607</v>
      </c>
      <c r="Q1" s="195" t="s">
        <v>608</v>
      </c>
      <c r="R1" s="195" t="s">
        <v>463</v>
      </c>
      <c r="S1" s="195" t="s">
        <v>609</v>
      </c>
      <c r="T1" s="195" t="s">
        <v>617</v>
      </c>
      <c r="U1" s="195" t="s">
        <v>474</v>
      </c>
    </row>
    <row r="2" spans="1:21" ht="30" customHeight="1" thickTop="1">
      <c r="A2" s="108">
        <v>44927</v>
      </c>
      <c r="B2" s="180">
        <v>12.01</v>
      </c>
      <c r="C2" s="196" t="s">
        <v>17</v>
      </c>
      <c r="D2" t="s">
        <v>291</v>
      </c>
      <c r="E2" s="196">
        <v>1</v>
      </c>
      <c r="F2" t="s">
        <v>611</v>
      </c>
      <c r="G2">
        <v>2023</v>
      </c>
      <c r="H2" t="s">
        <v>479</v>
      </c>
      <c r="I2" t="s">
        <v>594</v>
      </c>
      <c r="J2" t="s">
        <v>594</v>
      </c>
      <c r="K2" t="s">
        <v>599</v>
      </c>
      <c r="L2" t="s">
        <v>462</v>
      </c>
      <c r="M2" s="96">
        <v>12</v>
      </c>
      <c r="N2" t="s">
        <v>559</v>
      </c>
      <c r="O2" t="s">
        <v>612</v>
      </c>
      <c r="P2" t="s">
        <v>613</v>
      </c>
      <c r="Q2" s="197" t="s">
        <v>614</v>
      </c>
      <c r="R2" t="s">
        <v>615</v>
      </c>
      <c r="S2" t="s">
        <v>616</v>
      </c>
      <c r="T2" s="197" cm="1">
        <f t="array" ref="T2">IF(_xlfn.MAXIFS(IPQC_Records[Date],IPQC_Records[Open/ Closed],"CLOSED",IPQC_Records[No.],IPQC_Records[[#This Row],[No.]],IPQC_Records[Line1],IPQC_Records[[#This Row],[Line1]],IPQC_Records[Line2],IPQC_Records[[#This Row],[Line2]],IPQC_Records[Line3],IPQC_Records[[#This Row],[Line3]],IPQC_Records[Date],"&gt;="&amp;IPQC_Records[[#This Row],[Date]])=0,IF(ISNUMBER(MATCH( 1,(IPQC_Records[[#This Row],[No.]]=IPQC_Records[No.])*(IPQC_Records[[#This Row],[Line1]]=IPQC_Records[Line1])*(IPQC_Records[[#This Row],[Line2]]=IPQC_Records[Line2])*(IPQC_Records[[#This Row],[Line3]]=IPQC_Records[Line3])*(IPQC_Records[[#This Row],[Date]]&lt;IPQC_Records[Date]),0)),"Monitoring","Open"),_xlfn.MINIFS(IPQC_Records[Date],IPQC_Records[Open/ Closed],"CLOSED",IPQC_Records[No.],IPQC_Records[[#This Row],[No.]],IPQC_Records[Line1],IPQC_Records[[#This Row],[Line1]],IPQC_Records[Line2],IPQC_Records[[#This Row],[Line2]],IPQC_Records[Line3],IPQC_Records[[#This Row],[Line3]],IPQC_Records[Date],"&gt;="&amp;IPQC_Records[[#This Row],[Date]])-IPQC_Records[[#This Row],[Date]])</f>
        <v>0</v>
      </c>
      <c r="U2" s="96">
        <f>COUNTIFS(IPQC_Records[Date],IPQC_Records[[#This Row],[Date]],IPQC_Records[No.],IPQC_Records[[#This Row],[No.]],IPQC_Records[Line1],IPQC_Records[[#This Row],[Line1]],IPQC_Records[Line2],IPQC_Records[[#This Row],[Line2]],IPQC_Records[Line3],IPQC_Records[[#This Row],[Line3]],IPQC_Records[Machine No.],IPQC_Records[[#This Row],[Machine No.]],IPQC_Records[Auditor],IPQC_Records[[#This Row],[Auditor]])</f>
        <v>1</v>
      </c>
    </row>
  </sheetData>
  <sheetProtection algorithmName="SHA-512" hashValue="biieyRFOQ5mi5H9W6khpoNTpXJeaiH9EWTnZfo9dFgxAM54hHB9P7Jjx3WJc449cWDAICpZ+fKlkJbWiGrfwtw==" saltValue="NDvXMq9PoJFHpPtveOzk6w==" spinCount="100000" sheet="1" objects="1" scenarios="1"/>
  <phoneticPr fontId="33" type="noConversion"/>
  <conditionalFormatting sqref="T1:T2 Q1:Q2">
    <cfRule type="cellIs" dxfId="39" priority="26" operator="equal">
      <formula>"Monitoring"</formula>
    </cfRule>
    <cfRule type="cellIs" dxfId="38" priority="27" operator="equal">
      <formula>"CLOSED"</formula>
    </cfRule>
    <cfRule type="cellIs" dxfId="37" priority="28" operator="equal">
      <formula>"OPEN"</formula>
    </cfRule>
  </conditionalFormatting>
  <conditionalFormatting sqref="C1:C2">
    <cfRule type="cellIs" dxfId="36" priority="29" operator="equal">
      <formula>"critical"</formula>
    </cfRule>
    <cfRule type="cellIs" dxfId="35" priority="30" operator="equal">
      <formula>"minor"</formula>
    </cfRule>
    <cfRule type="cellIs" dxfId="34" priority="31" operator="equal">
      <formula>"OFI"</formula>
    </cfRule>
    <cfRule type="cellIs" dxfId="33" priority="32" operator="equal">
      <formula>"major"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A841C-ABEF-4D15-BAF6-21F238FA730E}">
  <sheetPr codeName="Sheet5"/>
  <dimension ref="A1:M75"/>
  <sheetViews>
    <sheetView zoomScaleNormal="100" zoomScalePageLayoutView="115" workbookViewId="0">
      <selection activeCell="A2" sqref="A2:I27"/>
    </sheetView>
  </sheetViews>
  <sheetFormatPr defaultRowHeight="14.4"/>
  <cols>
    <col min="1" max="1" width="6" style="199" customWidth="1"/>
    <col min="2" max="4" width="4.109375" customWidth="1"/>
    <col min="5" max="5" width="16" customWidth="1"/>
    <col min="6" max="6" width="30.109375" customWidth="1"/>
    <col min="7" max="7" width="20.88671875" customWidth="1"/>
  </cols>
  <sheetData>
    <row r="1" spans="1:13" s="193" customFormat="1" ht="27.75" customHeight="1" thickBot="1">
      <c r="A1" s="198" t="s">
        <v>3</v>
      </c>
      <c r="B1" s="194" t="s">
        <v>475</v>
      </c>
      <c r="C1" s="194" t="s">
        <v>476</v>
      </c>
      <c r="D1" s="194" t="s">
        <v>477</v>
      </c>
      <c r="E1" s="192" t="s">
        <v>605</v>
      </c>
      <c r="F1" s="192" t="s">
        <v>5</v>
      </c>
      <c r="G1" s="192" t="s">
        <v>621</v>
      </c>
      <c r="H1" s="192" t="s">
        <v>460</v>
      </c>
      <c r="I1" s="192" t="s">
        <v>625</v>
      </c>
    </row>
    <row r="2" spans="1:13" ht="15" thickTop="1">
      <c r="A2" s="180">
        <v>10.029999999999999</v>
      </c>
      <c r="F2" t="s">
        <v>631</v>
      </c>
      <c r="I2" t="s">
        <v>17</v>
      </c>
      <c r="J2" s="97"/>
      <c r="M2" s="97"/>
    </row>
    <row r="3" spans="1:13">
      <c r="A3" s="180">
        <v>10.029999999999999</v>
      </c>
      <c r="F3" t="s">
        <v>631</v>
      </c>
      <c r="I3" t="s">
        <v>17</v>
      </c>
    </row>
    <row r="4" spans="1:13">
      <c r="A4" s="180">
        <v>10.06</v>
      </c>
      <c r="F4" t="s">
        <v>635</v>
      </c>
      <c r="I4" t="s">
        <v>17</v>
      </c>
    </row>
    <row r="5" spans="1:13">
      <c r="A5" s="180">
        <v>10.06</v>
      </c>
      <c r="F5" t="s">
        <v>635</v>
      </c>
      <c r="I5" t="s">
        <v>17</v>
      </c>
    </row>
    <row r="6" spans="1:13">
      <c r="A6" s="180">
        <v>10.06</v>
      </c>
      <c r="F6" t="s">
        <v>635</v>
      </c>
      <c r="I6" t="s">
        <v>17</v>
      </c>
    </row>
    <row r="7" spans="1:13">
      <c r="A7" s="180">
        <v>10.06</v>
      </c>
      <c r="F7" t="s">
        <v>635</v>
      </c>
      <c r="I7" t="s">
        <v>17</v>
      </c>
    </row>
    <row r="8" spans="1:13">
      <c r="A8" s="180"/>
    </row>
    <row r="9" spans="1:13">
      <c r="A9" s="180"/>
    </row>
    <row r="10" spans="1:13">
      <c r="A10" s="180"/>
    </row>
    <row r="11" spans="1:13">
      <c r="A11" s="180"/>
    </row>
    <row r="12" spans="1:13">
      <c r="A12" s="180"/>
    </row>
    <row r="13" spans="1:13">
      <c r="A13" s="180"/>
    </row>
    <row r="14" spans="1:13">
      <c r="A14" s="180"/>
    </row>
    <row r="15" spans="1:13">
      <c r="A15" s="180"/>
    </row>
    <row r="16" spans="1:13">
      <c r="A16" s="180"/>
    </row>
    <row r="17" spans="1:1">
      <c r="A17" s="180"/>
    </row>
    <row r="18" spans="1:1">
      <c r="A18" s="180"/>
    </row>
    <row r="19" spans="1:1">
      <c r="A19" s="180"/>
    </row>
    <row r="20" spans="1:1">
      <c r="A20" s="180"/>
    </row>
    <row r="21" spans="1:1">
      <c r="A21" s="180"/>
    </row>
    <row r="22" spans="1:1">
      <c r="A22" s="180"/>
    </row>
    <row r="23" spans="1:1">
      <c r="A23" s="180"/>
    </row>
    <row r="24" spans="1:1">
      <c r="A24" s="180"/>
    </row>
    <row r="25" spans="1:1">
      <c r="A25" s="180"/>
    </row>
    <row r="26" spans="1:1">
      <c r="A26" s="180"/>
    </row>
    <row r="27" spans="1:1">
      <c r="A27" s="180"/>
    </row>
    <row r="55" spans="6:6">
      <c r="F55" s="97"/>
    </row>
    <row r="57" spans="6:6">
      <c r="F57" s="97"/>
    </row>
    <row r="59" spans="6:6">
      <c r="F59" s="97"/>
    </row>
    <row r="60" spans="6:6">
      <c r="F60" s="97"/>
    </row>
    <row r="61" spans="6:6">
      <c r="F61" s="97"/>
    </row>
    <row r="63" spans="6:6">
      <c r="F63" s="97"/>
    </row>
    <row r="64" spans="6:6">
      <c r="F64" s="97"/>
    </row>
    <row r="67" spans="6:6">
      <c r="F67" s="97"/>
    </row>
    <row r="68" spans="6:6">
      <c r="F68" s="97"/>
    </row>
    <row r="73" spans="6:6">
      <c r="F73" s="97"/>
    </row>
    <row r="74" spans="6:6">
      <c r="F74" s="97"/>
    </row>
    <row r="75" spans="6:6">
      <c r="F75" s="97"/>
    </row>
  </sheetData>
  <phoneticPr fontId="3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E7E44-DA28-4DB1-9DEA-45D81475522F}">
  <sheetPr codeName="Sheet3"/>
  <dimension ref="A1:AG73"/>
  <sheetViews>
    <sheetView zoomScale="85" zoomScaleNormal="85" workbookViewId="0">
      <selection activeCell="J31" sqref="J31"/>
    </sheetView>
  </sheetViews>
  <sheetFormatPr defaultColWidth="8.6640625" defaultRowHeight="14.4"/>
  <cols>
    <col min="2" max="2" width="3.6640625" style="96" customWidth="1"/>
    <col min="3" max="3" width="10.88671875" bestFit="1" customWidth="1"/>
    <col min="4" max="4" width="4" customWidth="1"/>
    <col min="7" max="7" width="10.88671875" bestFit="1" customWidth="1"/>
    <col min="9" max="9" width="10.44140625" bestFit="1" customWidth="1"/>
    <col min="10" max="10" width="10.109375" customWidth="1"/>
    <col min="11" max="11" width="7.6640625" bestFit="1" customWidth="1"/>
    <col min="12" max="12" width="5.5546875" customWidth="1"/>
    <col min="13" max="13" width="8.33203125" customWidth="1"/>
    <col min="28" max="28" width="16.33203125" bestFit="1" customWidth="1"/>
    <col min="29" max="30" width="8.6640625" customWidth="1"/>
    <col min="31" max="31" width="9.5546875" customWidth="1"/>
    <col min="32" max="32" width="8.6640625" customWidth="1"/>
  </cols>
  <sheetData>
    <row r="1" spans="2:33">
      <c r="AA1" t="s">
        <v>632</v>
      </c>
    </row>
    <row r="2" spans="2:33" ht="20.25" customHeight="1">
      <c r="B2" s="233" t="s">
        <v>471</v>
      </c>
      <c r="C2" s="233"/>
      <c r="D2" s="115">
        <v>11</v>
      </c>
    </row>
    <row r="3" spans="2:33" hidden="1">
      <c r="C3" s="116" t="str">
        <f>TEXT(D2*29,"mmmm")</f>
        <v>November</v>
      </c>
      <c r="AA3" s="96">
        <f>IF(AA1="Month",D2,"0")</f>
        <v>11</v>
      </c>
      <c r="AB3" s="206" t="str">
        <f>TEXT(AA3&amp;"/01","mmmm")</f>
        <v>November</v>
      </c>
    </row>
    <row r="4" spans="2:33">
      <c r="B4" s="234" t="str">
        <f>C3&amp;"'s"&amp;" Top Occuring Findings"</f>
        <v>November's Top Occuring Findings</v>
      </c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AB4" s="207" t="s">
        <v>627</v>
      </c>
      <c r="AC4" s="242" t="s">
        <v>629</v>
      </c>
      <c r="AD4" s="242"/>
      <c r="AE4" s="207" t="s">
        <v>628</v>
      </c>
      <c r="AF4" s="207" t="s">
        <v>630</v>
      </c>
    </row>
    <row r="5" spans="2:33">
      <c r="B5" s="235" t="s">
        <v>593</v>
      </c>
      <c r="C5" s="235"/>
      <c r="D5" s="235" t="s">
        <v>457</v>
      </c>
      <c r="E5" s="235"/>
      <c r="F5" s="235"/>
      <c r="G5" s="235"/>
      <c r="H5" s="235"/>
      <c r="I5" s="235"/>
      <c r="J5" s="235"/>
      <c r="K5" s="235"/>
      <c r="L5" s="235"/>
      <c r="M5" s="136" t="s">
        <v>6</v>
      </c>
      <c r="AB5" s="246">
        <f>IF(AA3="0",COUNTIF(Records!T:T,0),COUNTIFS(Records!F:F,Charts!AB3,Records!T:T,0))</f>
        <v>0</v>
      </c>
      <c r="AC5" s="243">
        <f>IF(AA3="0",COUNTIF(Records!T:T,"&gt;"&amp;0),COUNTIFS(Records!F:F,Charts!AB3,Records!T:T,"&gt;"&amp;0))</f>
        <v>0</v>
      </c>
      <c r="AD5" s="243"/>
      <c r="AE5" s="246">
        <f>IF(AA3="0",COUNTIF(Records!T:T,"OPEN"),COUNTIFS(Records!F:F,Charts!AB3,Records!T:T,"OPEN"))</f>
        <v>0</v>
      </c>
      <c r="AF5" s="244" t="e">
        <f>AB5/(SUM(AB5:AE6))</f>
        <v>#DIV/0!</v>
      </c>
    </row>
    <row r="6" spans="2:33" ht="12" customHeight="1">
      <c r="B6" s="236" t="e" cm="1">
        <f t="array" ref="B6">MODE(IF(ISERROR(MATCH(IPQC_Records[No.],$B$5:B5,0)),IF(IPQC_Records[Month]=Charts!$C$3,IPQC_Records[No.])))</f>
        <v>#N/A</v>
      </c>
      <c r="C6" s="236"/>
      <c r="D6" s="237" t="e">
        <f>INDEX(IPQC_Records[Check Item],MATCH(Charts!B6,IPQC_Records[No.],0))</f>
        <v>#N/A</v>
      </c>
      <c r="E6" s="237"/>
      <c r="F6" s="237"/>
      <c r="G6" s="237"/>
      <c r="H6" s="237"/>
      <c r="I6" s="237"/>
      <c r="J6" s="237"/>
      <c r="K6" s="237"/>
      <c r="L6" s="237"/>
      <c r="M6" s="117">
        <f>COUNTIFS(IPQC_Records[[No.]:[No.]],Charts!B6,IPQC_Records[[Month]:[Month]],Charts!$C$3)</f>
        <v>0</v>
      </c>
      <c r="AB6" s="247"/>
      <c r="AC6" s="243"/>
      <c r="AD6" s="243"/>
      <c r="AE6" s="247"/>
      <c r="AF6" s="245"/>
    </row>
    <row r="7" spans="2:33" ht="12" customHeight="1">
      <c r="B7" s="236" t="e" cm="1">
        <f t="array" ref="B7">MODE(IF(ISERROR(MATCH(IPQC_Records[No.],$B$5:B6,0)),IF(IPQC_Records[Month]=Charts!$C$3,IPQC_Records[No.])))</f>
        <v>#N/A</v>
      </c>
      <c r="C7" s="236"/>
      <c r="D7" s="237" t="e">
        <f>INDEX(IPQC_Records[Check Item],MATCH(Charts!B7,IPQC_Records[No.],0))</f>
        <v>#N/A</v>
      </c>
      <c r="E7" s="237"/>
      <c r="F7" s="237"/>
      <c r="G7" s="237"/>
      <c r="H7" s="237"/>
      <c r="I7" s="237"/>
      <c r="J7" s="237"/>
      <c r="K7" s="237"/>
      <c r="L7" s="237"/>
      <c r="M7" s="117">
        <f>COUNTIFS(IPQC_Records[[No.]:[No.]],Charts!B7,IPQC_Records[[Month]:[Month]],Charts!$C$3)</f>
        <v>0</v>
      </c>
      <c r="AC7">
        <v>-4</v>
      </c>
      <c r="AD7">
        <v>-3</v>
      </c>
      <c r="AE7">
        <v>-2</v>
      </c>
      <c r="AF7">
        <v>-1</v>
      </c>
      <c r="AG7">
        <v>0</v>
      </c>
    </row>
    <row r="8" spans="2:33" ht="12" customHeight="1">
      <c r="B8" s="236" t="e" cm="1">
        <f t="array" ref="B8">MODE(IF(ISERROR(MATCH(IPQC_Records[No.],$B$5:B7,0)),IF(IPQC_Records[Month]=Charts!$C$3,IPQC_Records[No.])))</f>
        <v>#N/A</v>
      </c>
      <c r="C8" s="236"/>
      <c r="D8" s="237" t="e">
        <f>INDEX(IPQC_Records[Check Item],MATCH(Charts!B8,IPQC_Records[No.],0))</f>
        <v>#N/A</v>
      </c>
      <c r="E8" s="237"/>
      <c r="F8" s="237"/>
      <c r="G8" s="237"/>
      <c r="H8" s="237"/>
      <c r="I8" s="237"/>
      <c r="J8" s="237"/>
      <c r="K8" s="237"/>
      <c r="L8" s="237"/>
      <c r="M8" s="117">
        <f>COUNTIFS(IPQC_Records[[No.]:[No.]],Charts!B8,IPQC_Records[[Month]:[Month]],Charts!$C$3)</f>
        <v>0</v>
      </c>
    </row>
    <row r="9" spans="2:33" ht="12" customHeight="1">
      <c r="B9" s="236" t="e" cm="1">
        <f t="array" ref="B9">MODE(IF(ISERROR(MATCH(IPQC_Records[No.],$B$5:B8,0)),IF(IPQC_Records[Month]=Charts!$C$3,IPQC_Records[No.])))</f>
        <v>#N/A</v>
      </c>
      <c r="C9" s="236"/>
      <c r="D9" s="237" t="e">
        <f>INDEX(IPQC_Records[Check Item],MATCH(Charts!B9,IPQC_Records[No.],0))</f>
        <v>#N/A</v>
      </c>
      <c r="E9" s="237"/>
      <c r="F9" s="237"/>
      <c r="G9" s="237"/>
      <c r="H9" s="237"/>
      <c r="I9" s="237"/>
      <c r="J9" s="237"/>
      <c r="K9" s="237"/>
      <c r="L9" s="237"/>
      <c r="M9" s="117">
        <f>COUNTIFS(IPQC_Records[[No.]:[No.]],Charts!B9,IPQC_Records[[Month]:[Month]],Charts!$C$3)</f>
        <v>0</v>
      </c>
      <c r="AC9">
        <f t="shared" ref="AC9:AF9" ca="1" si="0">WEEKNUM(DATE(YEAR(TODAY()),(MONTH(TODAY())-1),DAY(EOMONTH(TODAY(),-1))),14)+AC7</f>
        <v>41</v>
      </c>
      <c r="AD9">
        <f t="shared" ca="1" si="0"/>
        <v>42</v>
      </c>
      <c r="AE9">
        <f t="shared" ca="1" si="0"/>
        <v>43</v>
      </c>
      <c r="AF9">
        <f t="shared" ca="1" si="0"/>
        <v>44</v>
      </c>
      <c r="AG9">
        <f ca="1">WEEKNUM(DATE(YEAR(TODAY()),(MONTH(TODAY())-1),DAY(EOMONTH(TODAY(),-1))),14)+AG7</f>
        <v>45</v>
      </c>
    </row>
    <row r="10" spans="2:33">
      <c r="B10" s="236" t="e" cm="1">
        <f t="array" ref="B10">MODE(IF(ISERROR(MATCH(IPQC_Records[No.],$B$5:B9,0)),IF(IPQC_Records[Month]=Charts!$C$3,IPQC_Records[No.])))</f>
        <v>#N/A</v>
      </c>
      <c r="C10" s="236"/>
      <c r="D10" s="237" t="e">
        <f>INDEX(IPQC_Records[Check Item],MATCH(Charts!B10,IPQC_Records[No.],0))</f>
        <v>#N/A</v>
      </c>
      <c r="E10" s="237"/>
      <c r="F10" s="237"/>
      <c r="G10" s="237"/>
      <c r="H10" s="237"/>
      <c r="I10" s="237"/>
      <c r="J10" s="237"/>
      <c r="K10" s="237"/>
      <c r="L10" s="237"/>
      <c r="M10" s="117">
        <f>COUNTIFS(IPQC_Records[[No.]:[No.]],Charts!B10,IPQC_Records[[Month]:[Month]],Charts!$C$3)</f>
        <v>0</v>
      </c>
      <c r="AB10" s="207"/>
      <c r="AC10" s="208" t="str">
        <f ca="1">"CW "&amp;AC$9</f>
        <v>CW 41</v>
      </c>
      <c r="AD10" s="208" t="str">
        <f ca="1">"CW "&amp;AD$9</f>
        <v>CW 42</v>
      </c>
      <c r="AE10" s="208" t="str">
        <f ca="1">"CW "&amp;AE$9</f>
        <v>CW 43</v>
      </c>
      <c r="AF10" s="208" t="str">
        <f ca="1">"CW "&amp;AF$9</f>
        <v>CW 44</v>
      </c>
      <c r="AG10" s="208" t="str">
        <f ca="1">"CW "&amp;AG$9</f>
        <v>CW 45</v>
      </c>
    </row>
    <row r="11" spans="2:33" ht="1.5" hidden="1" customHeight="1">
      <c r="B11" s="96">
        <v>2023</v>
      </c>
    </row>
    <row r="12" spans="2:33" ht="12" customHeight="1">
      <c r="AB12" s="207" t="s">
        <v>627</v>
      </c>
      <c r="AC12" s="205">
        <f ca="1">COUNTIFS(IPQC_Records[[CW]:[CW]],AC$9,IPQC_Records[[Current Status]:[Current Status]],0)</f>
        <v>0</v>
      </c>
      <c r="AD12" s="205">
        <f ca="1">COUNTIFS(IPQC_Records[[CW]:[CW]],AD$9,IPQC_Records[[Current Status]:[Current Status]],0)</f>
        <v>0</v>
      </c>
      <c r="AE12" s="205">
        <f ca="1">COUNTIFS(IPQC_Records[[CW]:[CW]],AE$9,IPQC_Records[[Current Status]:[Current Status]],0)</f>
        <v>0</v>
      </c>
      <c r="AF12" s="205">
        <f ca="1">COUNTIFS(IPQC_Records[[CW]:[CW]],AF$9,IPQC_Records[[Current Status]:[Current Status]],0)</f>
        <v>0</v>
      </c>
      <c r="AG12" s="205">
        <f ca="1">COUNTIFS(IPQC_Records[[CW]:[CW]],AG$9,IPQC_Records[[Current Status]:[Current Status]],0)</f>
        <v>0</v>
      </c>
    </row>
    <row r="13" spans="2:33" ht="15" customHeight="1">
      <c r="B13" s="240" t="str">
        <f>B11&amp;"'s"&amp;" Top Ocuring Findings"</f>
        <v>2023's Top Ocuring Findings</v>
      </c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AB13" s="207" t="s">
        <v>629</v>
      </c>
      <c r="AC13" s="205">
        <f ca="1">COUNTIFS(IPQC_Records[[CW]:[CW]],AC$9,IPQC_Records[[Current Status]:[Current Status]],"&gt;"&amp;0)</f>
        <v>0</v>
      </c>
      <c r="AD13" s="205">
        <f ca="1">COUNTIFS(IPQC_Records[[CW]:[CW]],AD$9,IPQC_Records[[Current Status]:[Current Status]],"&gt;"&amp;0)</f>
        <v>0</v>
      </c>
      <c r="AE13" s="205">
        <f ca="1">COUNTIFS(IPQC_Records[[CW]:[CW]],AE$9,IPQC_Records[[Current Status]:[Current Status]],"&gt;"&amp;0)</f>
        <v>0</v>
      </c>
      <c r="AF13" s="205">
        <f ca="1">COUNTIFS(IPQC_Records[[CW]:[CW]],AF$9,IPQC_Records[[Current Status]:[Current Status]],"&gt;"&amp;0)</f>
        <v>0</v>
      </c>
      <c r="AG13" s="205">
        <f ca="1">COUNTIFS(IPQC_Records[[CW]:[CW]],AG$9,IPQC_Records[[Current Status]:[Current Status]],"&gt;"&amp;0)</f>
        <v>0</v>
      </c>
    </row>
    <row r="14" spans="2:33" ht="12" customHeight="1">
      <c r="B14" s="241" t="s">
        <v>593</v>
      </c>
      <c r="C14" s="241"/>
      <c r="D14" s="241" t="s">
        <v>457</v>
      </c>
      <c r="E14" s="241"/>
      <c r="F14" s="241"/>
      <c r="G14" s="241"/>
      <c r="H14" s="241"/>
      <c r="I14" s="241"/>
      <c r="J14" s="241"/>
      <c r="K14" s="241"/>
      <c r="L14" s="241"/>
      <c r="M14" s="137" t="s">
        <v>6</v>
      </c>
      <c r="AB14" s="207" t="s">
        <v>628</v>
      </c>
      <c r="AC14" s="205">
        <f ca="1">COUNTIFS(IPQC_Records[[CW]:[CW]],AC$9,IPQC_Records[[Current Status]:[Current Status]],"OPEN")</f>
        <v>0</v>
      </c>
      <c r="AD14" s="205">
        <f ca="1">COUNTIFS(IPQC_Records[[CW]:[CW]],AD$9,IPQC_Records[[Current Status]:[Current Status]],"OPEN")</f>
        <v>0</v>
      </c>
      <c r="AE14" s="205">
        <f ca="1">COUNTIFS(IPQC_Records[[CW]:[CW]],AE$9,IPQC_Records[[Current Status]:[Current Status]],"OPEN")</f>
        <v>0</v>
      </c>
      <c r="AF14" s="205">
        <f ca="1">COUNTIFS(IPQC_Records[[CW]:[CW]],AF$9,IPQC_Records[[Current Status]:[Current Status]],"OPEN")</f>
        <v>0</v>
      </c>
      <c r="AG14" s="205">
        <f ca="1">COUNTIFS(IPQC_Records[[CW]:[CW]],AG$9,IPQC_Records[[Current Status]:[Current Status]],"OPEN")</f>
        <v>0</v>
      </c>
    </row>
    <row r="15" spans="2:33" ht="12" customHeight="1">
      <c r="B15" s="238" t="e" cm="1">
        <f t="array" ref="B15">MODE(IF(ISERROR(MATCH(IPQC_Records[No.],$B$14:B14,0)),IF(IPQC_Records[Year]=Charts!$B$11,IPQC_Records[No.])))</f>
        <v>#N/A</v>
      </c>
      <c r="C15" s="238"/>
      <c r="D15" s="239" t="e">
        <f>INDEX(IPQC_Records[Check Item],MATCH(Charts!B15,IPQC_Records[No.],0))</f>
        <v>#N/A</v>
      </c>
      <c r="E15" s="239"/>
      <c r="F15" s="239"/>
      <c r="G15" s="239"/>
      <c r="H15" s="239"/>
      <c r="I15" s="239"/>
      <c r="J15" s="239"/>
      <c r="K15" s="239"/>
      <c r="L15" s="239"/>
      <c r="M15" s="118">
        <f>COUNTIFS(IPQC_Records[[No.]:[No.]],Charts!B15)</f>
        <v>0</v>
      </c>
      <c r="AB15" s="207" t="s">
        <v>630</v>
      </c>
      <c r="AC15" s="209" t="e">
        <f ca="1">AC12/SUM(AC12:AC14)</f>
        <v>#DIV/0!</v>
      </c>
      <c r="AD15" s="209" t="e">
        <f t="shared" ref="AD15:AG15" ca="1" si="1">AD12/SUM(AD12:AD14)</f>
        <v>#DIV/0!</v>
      </c>
      <c r="AE15" s="209" t="e">
        <f t="shared" ca="1" si="1"/>
        <v>#DIV/0!</v>
      </c>
      <c r="AF15" s="209" t="e">
        <f t="shared" ca="1" si="1"/>
        <v>#DIV/0!</v>
      </c>
      <c r="AG15" s="209" t="e">
        <f t="shared" ca="1" si="1"/>
        <v>#DIV/0!</v>
      </c>
    </row>
    <row r="16" spans="2:33" ht="12" customHeight="1">
      <c r="B16" s="238" t="e" cm="1">
        <f t="array" ref="B16">MODE(IF(ISERROR(MATCH(IPQC_Records[No.],$B$14:B15,0)),IF(IPQC_Records[Year]=$B$11,IPQC_Records[No.])))</f>
        <v>#N/A</v>
      </c>
      <c r="C16" s="238"/>
      <c r="D16" s="239" t="e">
        <f>INDEX(IPQC_Records[Check Item],MATCH(Charts!B16,IPQC_Records[No.],0))</f>
        <v>#N/A</v>
      </c>
      <c r="E16" s="239"/>
      <c r="F16" s="239"/>
      <c r="G16" s="239"/>
      <c r="H16" s="239"/>
      <c r="I16" s="239"/>
      <c r="J16" s="239"/>
      <c r="K16" s="239"/>
      <c r="L16" s="239"/>
      <c r="M16" s="118">
        <f>COUNTIFS(IPQC_Records[[No.]:[No.]],Charts!B16)</f>
        <v>0</v>
      </c>
    </row>
    <row r="17" spans="1:17" ht="12" customHeight="1">
      <c r="B17" s="238" t="e" cm="1">
        <f t="array" ref="B17">MODE(IF(ISERROR(MATCH(IPQC_Records[No.],$B$14:B16,0)),IF(IPQC_Records[Year]=$B$11,IPQC_Records[No.])))</f>
        <v>#N/A</v>
      </c>
      <c r="C17" s="238"/>
      <c r="D17" s="239" t="e">
        <f>INDEX(IPQC_Records[Check Item],MATCH(Charts!B17,IPQC_Records[No.],0))</f>
        <v>#N/A</v>
      </c>
      <c r="E17" s="239"/>
      <c r="F17" s="239"/>
      <c r="G17" s="239"/>
      <c r="H17" s="239"/>
      <c r="I17" s="239"/>
      <c r="J17" s="239"/>
      <c r="K17" s="239"/>
      <c r="L17" s="239"/>
      <c r="M17" s="118">
        <f>COUNTIFS(IPQC_Records[[No.]:[No.]],Charts!B17)</f>
        <v>0</v>
      </c>
    </row>
    <row r="18" spans="1:17" ht="12" customHeight="1">
      <c r="B18" s="238" t="e" cm="1">
        <f t="array" ref="B18">MODE(IF(ISERROR(MATCH(IPQC_Records[No.],$B$14:B17,0)),IF(IPQC_Records[Year]=$B$11,IPQC_Records[No.])))</f>
        <v>#N/A</v>
      </c>
      <c r="C18" s="238"/>
      <c r="D18" s="239" t="e">
        <f>INDEX(IPQC_Records[Check Item],MATCH(Charts!B18,IPQC_Records[No.],0))</f>
        <v>#N/A</v>
      </c>
      <c r="E18" s="239"/>
      <c r="F18" s="239"/>
      <c r="G18" s="239"/>
      <c r="H18" s="239"/>
      <c r="I18" s="239"/>
      <c r="J18" s="239"/>
      <c r="K18" s="239"/>
      <c r="L18" s="239"/>
      <c r="M18" s="118">
        <f>COUNTIFS(IPQC_Records[[No.]:[No.]],Charts!B18)</f>
        <v>0</v>
      </c>
    </row>
    <row r="19" spans="1:17" ht="12" customHeight="1">
      <c r="B19" s="238" t="e" cm="1">
        <f t="array" ref="B19">MODE(IF(ISERROR(MATCH(IPQC_Records[No.],$B$14:B18,0)),IF(IPQC_Records[Year]=$B$11,IPQC_Records[No.])))</f>
        <v>#N/A</v>
      </c>
      <c r="C19" s="238"/>
      <c r="D19" s="239" t="e">
        <f>INDEX(IPQC_Records[Check Item],MATCH(Charts!B19,IPQC_Records[No.],0))</f>
        <v>#N/A</v>
      </c>
      <c r="E19" s="239"/>
      <c r="F19" s="239"/>
      <c r="G19" s="239"/>
      <c r="H19" s="239"/>
      <c r="I19" s="239"/>
      <c r="J19" s="239"/>
      <c r="K19" s="239"/>
      <c r="L19" s="239"/>
      <c r="M19" s="118">
        <f>COUNTIFS(IPQC_Records[[No.]:[No.]],Charts!B19)</f>
        <v>0</v>
      </c>
    </row>
    <row r="20" spans="1:17" ht="15" customHeight="1">
      <c r="E20">
        <v>-5</v>
      </c>
      <c r="F20">
        <v>-4</v>
      </c>
      <c r="G20">
        <v>-3</v>
      </c>
      <c r="H20">
        <v>-2</v>
      </c>
      <c r="I20">
        <v>-1</v>
      </c>
      <c r="J20">
        <f ca="1">(MONTH(TODAY())-1)</f>
        <v>10</v>
      </c>
      <c r="K20">
        <f ca="1">(MONTH(TODAY())-1)</f>
        <v>10</v>
      </c>
      <c r="M20">
        <v>-4</v>
      </c>
      <c r="N20">
        <v>-3</v>
      </c>
      <c r="O20">
        <v>-2</v>
      </c>
      <c r="P20">
        <v>-1</v>
      </c>
      <c r="Q20">
        <v>0</v>
      </c>
    </row>
    <row r="21" spans="1:17" ht="15" customHeight="1">
      <c r="E21">
        <f t="shared" ref="E21:I21" ca="1" si="2">MONTH(EOMONTH(TODAY(),E20-1))</f>
        <v>5</v>
      </c>
      <c r="F21">
        <f t="shared" ca="1" si="2"/>
        <v>6</v>
      </c>
      <c r="G21">
        <f t="shared" ca="1" si="2"/>
        <v>7</v>
      </c>
      <c r="H21">
        <f t="shared" ca="1" si="2"/>
        <v>8</v>
      </c>
      <c r="I21">
        <f t="shared" ca="1" si="2"/>
        <v>9</v>
      </c>
      <c r="J21">
        <f ca="1">MONTH(EOMONTH(TODAY(),J20-1))</f>
        <v>8</v>
      </c>
      <c r="K21">
        <f ca="1">MONTH(EOMONTH(TODAY(),K20))</f>
        <v>9</v>
      </c>
    </row>
    <row r="22" spans="1:17" ht="19.5" customHeight="1" thickBot="1">
      <c r="A22" s="233" t="s">
        <v>471</v>
      </c>
      <c r="B22" s="233"/>
      <c r="C22" s="119"/>
      <c r="D22" t="s">
        <v>594</v>
      </c>
      <c r="E22" t="str">
        <f ca="1">TEXT(E21*29,"mmmm")</f>
        <v>May</v>
      </c>
      <c r="F22" t="str">
        <f t="shared" ref="F22:H22" ca="1" si="3">TEXT(F21*29,"mmmm")</f>
        <v>June</v>
      </c>
      <c r="G22" t="str">
        <f t="shared" ca="1" si="3"/>
        <v>July</v>
      </c>
      <c r="H22" t="str">
        <f t="shared" ca="1" si="3"/>
        <v>August</v>
      </c>
      <c r="I22" t="str">
        <f ca="1">TEXT(I21*29,"mmmm")</f>
        <v>September</v>
      </c>
      <c r="J22" t="str">
        <f ca="1">TEXT(J21*29,"mmmm")</f>
        <v>August</v>
      </c>
      <c r="K22" t="str">
        <f ca="1">TEXT(K21*29,"mmmm")</f>
        <v>September</v>
      </c>
      <c r="M22">
        <f t="shared" ref="M22:P22" ca="1" si="4">WEEKNUM(DATE(YEAR(TODAY()),(MONTH(TODAY())-1),DAY(EOMONTH(TODAY(),-1))),14)+M20</f>
        <v>41</v>
      </c>
      <c r="N22">
        <f t="shared" ca="1" si="4"/>
        <v>42</v>
      </c>
      <c r="O22">
        <f t="shared" ca="1" si="4"/>
        <v>43</v>
      </c>
      <c r="P22">
        <f t="shared" ca="1" si="4"/>
        <v>44</v>
      </c>
      <c r="Q22">
        <f ca="1">WEEKNUM(DATE(YEAR(TODAY()),(MONTH(TODAY())-1),DAY(EOMONTH(TODAY(),-1))),14)+Q20</f>
        <v>45</v>
      </c>
    </row>
    <row r="23" spans="1:17" ht="15" customHeight="1">
      <c r="A23" s="165"/>
      <c r="B23" s="166"/>
      <c r="C23" s="167" t="s">
        <v>595</v>
      </c>
      <c r="D23" s="168" t="s">
        <v>594</v>
      </c>
      <c r="E23" s="167" t="str">
        <f t="shared" ref="E23:I23" ca="1" si="5">TEXT(E21*30,"mmm")&amp;" Avg"</f>
        <v>May Avg</v>
      </c>
      <c r="F23" s="167" t="str">
        <f t="shared" ca="1" si="5"/>
        <v>Jun Avg</v>
      </c>
      <c r="G23" s="167" t="str">
        <f t="shared" ca="1" si="5"/>
        <v>Jul Avg</v>
      </c>
      <c r="H23" s="167" t="str">
        <f t="shared" ca="1" si="5"/>
        <v>Aug Avg</v>
      </c>
      <c r="I23" s="167" t="str">
        <f t="shared" ca="1" si="5"/>
        <v>Sep Avg</v>
      </c>
      <c r="J23" s="167" t="str">
        <f ca="1">TEXT(J21*30,"mmm")&amp;" Avg"</f>
        <v>Aug Avg</v>
      </c>
      <c r="K23" s="167" t="str">
        <f ca="1">TEXT(K21*30,"mmm")&amp;" Avg"</f>
        <v>Sep Avg</v>
      </c>
      <c r="L23" s="167" t="s">
        <v>594</v>
      </c>
      <c r="M23" s="169" t="str">
        <f ca="1">"CW "&amp;M$22</f>
        <v>CW 41</v>
      </c>
      <c r="N23" s="169" t="str">
        <f t="shared" ref="N23:Q23" ca="1" si="6">"CW "&amp;N$22</f>
        <v>CW 42</v>
      </c>
      <c r="O23" s="169" t="str">
        <f t="shared" ca="1" si="6"/>
        <v>CW 43</v>
      </c>
      <c r="P23" s="169" t="str">
        <f t="shared" ca="1" si="6"/>
        <v>CW 44</v>
      </c>
      <c r="Q23" s="170" t="str">
        <f t="shared" ca="1" si="6"/>
        <v>CW 45</v>
      </c>
    </row>
    <row r="24" spans="1:17" ht="15" customHeight="1">
      <c r="A24" s="171" t="s">
        <v>596</v>
      </c>
      <c r="B24" s="172" t="s">
        <v>597</v>
      </c>
      <c r="C24" s="174">
        <f>COUNTIFS(IPQC_Records[Line1],Charts!B24)</f>
        <v>0</v>
      </c>
      <c r="D24" s="174"/>
      <c r="E24" s="174">
        <f ca="1">COUNTIFS(IPQC_Records[[Line1]:[Line1]],Charts!$B24,IPQC_Records[[Month]:[Month]],E$22)</f>
        <v>0</v>
      </c>
      <c r="F24" s="174">
        <f ca="1">COUNTIFS(IPQC_Records[[Line1]:[Line1]],Charts!$B24,IPQC_Records[[Month]:[Month]],F$22)</f>
        <v>0</v>
      </c>
      <c r="G24" s="174">
        <f ca="1">COUNTIFS(IPQC_Records[[Line1]:[Line1]],Charts!$B24,IPQC_Records[[Month]:[Month]],G$22)</f>
        <v>0</v>
      </c>
      <c r="H24" s="174">
        <f ca="1">COUNTIFS(IPQC_Records[[Line1]:[Line1]],Charts!$B24,IPQC_Records[[Month]:[Month]],H$22)</f>
        <v>0</v>
      </c>
      <c r="I24" s="174">
        <f ca="1">COUNTIFS(IPQC_Records[[Line1]:[Line1]],Charts!$B24,IPQC_Records[[Month]:[Month]],I$22)</f>
        <v>0</v>
      </c>
      <c r="J24" s="174">
        <f ca="1">COUNTIFS(IPQC_Records[[Line1]:[Line1]],Charts!$B24,IPQC_Records[[Month]:[Month]],J$22)</f>
        <v>0</v>
      </c>
      <c r="K24" s="174">
        <f ca="1">COUNTIFS(IPQC_Records[[Line1]:[Line1]],Charts!$B24,IPQC_Records[[Month]:[Month]],K$22)</f>
        <v>0</v>
      </c>
      <c r="L24" s="174"/>
      <c r="M24" s="174">
        <f ca="1">COUNTIFS(IPQC_Records[[Line1]:[Line1]],Charts!$B24,IPQC_Records[[CW]:[CW]],M$22)</f>
        <v>0</v>
      </c>
      <c r="N24" s="174">
        <f ca="1">COUNTIFS(IPQC_Records[[Line1]:[Line1]],Charts!$B24,IPQC_Records[[CW]:[CW]],N$22)</f>
        <v>0</v>
      </c>
      <c r="O24" s="174">
        <f ca="1">COUNTIFS(IPQC_Records[[Line1]:[Line1]],Charts!$B24,IPQC_Records[[CW]:[CW]],O$22)</f>
        <v>0</v>
      </c>
      <c r="P24" s="174">
        <f ca="1">COUNTIFS(IPQC_Records[[Line1]:[Line1]],Charts!$B24,IPQC_Records[[CW]:[CW]],P$22)</f>
        <v>0</v>
      </c>
      <c r="Q24" s="175">
        <f ca="1">COUNTIFS(IPQC_Records[[Line1]:[Line1]],Charts!$B24,IPQC_Records[[CW]:[CW]],Q$22)</f>
        <v>0</v>
      </c>
    </row>
    <row r="25" spans="1:17">
      <c r="A25" s="120" t="e" cm="1">
        <f t="array" ref="A25:A29">IF($A$22="month",$B$6:$B$10,IF($A$22="Year",$B$15:$B$19))</f>
        <v>#N/A</v>
      </c>
      <c r="B25" s="150" t="s">
        <v>597</v>
      </c>
      <c r="C25" s="158">
        <f>IFERROR(COUNTIFS(IPQC_Records[No.],Charts!A25,IPQC_Records[Line1],Charts!B25)/$C$24,0)</f>
        <v>0</v>
      </c>
      <c r="D25" s="157"/>
      <c r="E25" s="158">
        <f ca="1">IFERROR(COUNTIFS(IPQC_Records[[No.]:[No.]],Charts!$A25,IPQC_Records[[Line1]:[Line1]],Charts!$B25,IPQC_Records[[Month]:[Month]],E$22)/E$24,0)</f>
        <v>0</v>
      </c>
      <c r="F25" s="158">
        <f ca="1">IFERROR(COUNTIFS(IPQC_Records[[No.]:[No.]],Charts!$A25,IPQC_Records[[Line1]:[Line1]],Charts!$B25,IPQC_Records[[Month]:[Month]],F$22)/F$24,0)</f>
        <v>0</v>
      </c>
      <c r="G25" s="158">
        <f ca="1">IFERROR(COUNTIFS(IPQC_Records[[No.]:[No.]],Charts!$A25,IPQC_Records[[Line1]:[Line1]],Charts!$B25,IPQC_Records[[Month]:[Month]],G$22)/G$24,0)</f>
        <v>0</v>
      </c>
      <c r="H25" s="158">
        <f ca="1">IFERROR(COUNTIFS(IPQC_Records[[No.]:[No.]],Charts!$A25,IPQC_Records[[Line1]:[Line1]],Charts!$B25,IPQC_Records[[Month]:[Month]],H$22)/H$24,0)</f>
        <v>0</v>
      </c>
      <c r="I25" s="158">
        <f ca="1">IFERROR(COUNTIFS(IPQC_Records[[No.]:[No.]],Charts!$A25,IPQC_Records[[Line1]:[Line1]],Charts!$B25,IPQC_Records[[Month]:[Month]],I$22)/I$24,0)</f>
        <v>0</v>
      </c>
      <c r="J25" s="158">
        <f ca="1">IFERROR(COUNTIFS(IPQC_Records[[No.]:[No.]],Charts!$A25,IPQC_Records[[Line1]:[Line1]],Charts!$B25,IPQC_Records[[Month]:[Month]],J$22)/J$24,0)</f>
        <v>0</v>
      </c>
      <c r="K25" s="158">
        <f ca="1">IFERROR(COUNTIFS(IPQC_Records[[No.]:[No.]],Charts!$A25,IPQC_Records[[Line1]:[Line1]],Charts!$B25,IPQC_Records[[Month]:[Month]],K$22)/K$24,0)</f>
        <v>0</v>
      </c>
      <c r="L25" s="157"/>
      <c r="M25" s="158">
        <f ca="1">IFERROR(COUNTIFS(IPQC_Records[[No.]:[No.]],Charts!$A25,IPQC_Records[[Line1]:[Line1]],Charts!$B25,IPQC_Records[[CW]:[CW]],M$22)/M$24,0)</f>
        <v>0</v>
      </c>
      <c r="N25" s="158">
        <f ca="1">IFERROR(COUNTIFS(IPQC_Records[[No.]:[No.]],Charts!$A25,IPQC_Records[[Line1]:[Line1]],Charts!$B25,IPQC_Records[[CW]:[CW]],N$22)/N$24,0)</f>
        <v>0</v>
      </c>
      <c r="O25" s="158">
        <f ca="1">IFERROR(COUNTIFS(IPQC_Records[[No.]:[No.]],Charts!$A25,IPQC_Records[[Line1]:[Line1]],Charts!$B25,IPQC_Records[[CW]:[CW]],O$22)/O$24,0)</f>
        <v>0</v>
      </c>
      <c r="P25" s="158">
        <f ca="1">IFERROR(COUNTIFS(IPQC_Records[[No.]:[No.]],Charts!$A25,IPQC_Records[[Line1]:[Line1]],Charts!$B25,IPQC_Records[[CW]:[CW]],P$22)/P$24,0)</f>
        <v>0</v>
      </c>
      <c r="Q25" s="159">
        <f ca="1">IFERROR(COUNTIFS(IPQC_Records[[No.]:[No.]],Charts!$A25,IPQC_Records[[Line1]:[Line1]],Charts!$B25,IPQC_Records[[CW]:[CW]],Q$22)/Q$24,0)</f>
        <v>0</v>
      </c>
    </row>
    <row r="26" spans="1:17">
      <c r="A26" s="120" t="e">
        <v>#N/A</v>
      </c>
      <c r="B26" s="150" t="s">
        <v>597</v>
      </c>
      <c r="C26" s="158">
        <f>IFERROR(COUNTIFS(IPQC_Records[No.],Charts!A26,IPQC_Records[Line1],Charts!B26)/$C$24,0)</f>
        <v>0</v>
      </c>
      <c r="D26" s="157"/>
      <c r="E26" s="158">
        <f ca="1">IFERROR(COUNTIFS(IPQC_Records[[No.]:[No.]],Charts!$A26,IPQC_Records[[Line1]:[Line1]],Charts!$B26,IPQC_Records[[Month]:[Month]],E$22)/E$24,0)</f>
        <v>0</v>
      </c>
      <c r="F26" s="158">
        <f ca="1">IFERROR(COUNTIFS(IPQC_Records[[No.]:[No.]],Charts!$A26,IPQC_Records[[Line1]:[Line1]],Charts!$B26,IPQC_Records[[Month]:[Month]],F$22)/F$24,0)</f>
        <v>0</v>
      </c>
      <c r="G26" s="158">
        <f ca="1">IFERROR(COUNTIFS(IPQC_Records[[No.]:[No.]],Charts!$A26,IPQC_Records[[Line1]:[Line1]],Charts!$B26,IPQC_Records[[Month]:[Month]],G$22)/G$24,0)</f>
        <v>0</v>
      </c>
      <c r="H26" s="158">
        <f ca="1">IFERROR(COUNTIFS(IPQC_Records[[No.]:[No.]],Charts!$A26,IPQC_Records[[Line1]:[Line1]],Charts!$B26,IPQC_Records[[Month]:[Month]],H$22)/H$24,0)</f>
        <v>0</v>
      </c>
      <c r="I26" s="158">
        <f ca="1">IFERROR(COUNTIFS(IPQC_Records[[No.]:[No.]],Charts!$A26,IPQC_Records[[Line1]:[Line1]],Charts!$B26,IPQC_Records[[Month]:[Month]],I$22)/I$24,0)</f>
        <v>0</v>
      </c>
      <c r="J26" s="158">
        <f ca="1">IFERROR(COUNTIFS(IPQC_Records[[No.]:[No.]],Charts!$A26,IPQC_Records[[Line1]:[Line1]],Charts!$B26,IPQC_Records[[Month]:[Month]],J$22)/J$24,0)</f>
        <v>0</v>
      </c>
      <c r="K26" s="158">
        <f ca="1">IFERROR(COUNTIFS(IPQC_Records[[No.]:[No.]],Charts!$A26,IPQC_Records[[Line1]:[Line1]],Charts!$B26,IPQC_Records[[Month]:[Month]],K$22)/K$24,0)</f>
        <v>0</v>
      </c>
      <c r="L26" s="157"/>
      <c r="M26" s="158">
        <f ca="1">IFERROR(COUNTIFS(IPQC_Records[[No.]:[No.]],Charts!$A26,IPQC_Records[[Line1]:[Line1]],Charts!$B26,IPQC_Records[[CW]:[CW]],M$22)/M$24,0)</f>
        <v>0</v>
      </c>
      <c r="N26" s="158">
        <f ca="1">IFERROR(COUNTIFS(IPQC_Records[[No.]:[No.]],Charts!$A26,IPQC_Records[[Line1]:[Line1]],Charts!$B26,IPQC_Records[[CW]:[CW]],N$22)/N$24,0)</f>
        <v>0</v>
      </c>
      <c r="O26" s="158">
        <f ca="1">IFERROR(COUNTIFS(IPQC_Records[[No.]:[No.]],Charts!$A26,IPQC_Records[[Line1]:[Line1]],Charts!$B26,IPQC_Records[[CW]:[CW]],O$22)/O$24,0)</f>
        <v>0</v>
      </c>
      <c r="P26" s="158">
        <f ca="1">IFERROR(COUNTIFS(IPQC_Records[[No.]:[No.]],Charts!$A26,IPQC_Records[[Line1]:[Line1]],Charts!$B26,IPQC_Records[[CW]:[CW]],P$22)/P$24,0)</f>
        <v>0</v>
      </c>
      <c r="Q26" s="159">
        <f ca="1">IFERROR(COUNTIFS(IPQC_Records[[No.]:[No.]],Charts!$A26,IPQC_Records[[Line1]:[Line1]],Charts!$B26,IPQC_Records[[CW]:[CW]],Q$22)/Q$24,0)</f>
        <v>0</v>
      </c>
    </row>
    <row r="27" spans="1:17">
      <c r="A27" s="120" t="e">
        <v>#N/A</v>
      </c>
      <c r="B27" s="150" t="s">
        <v>597</v>
      </c>
      <c r="C27" s="158">
        <f>IFERROR(COUNTIFS(IPQC_Records[No.],Charts!A27,IPQC_Records[Line1],Charts!B27)/$C$24,0)</f>
        <v>0</v>
      </c>
      <c r="D27" s="157"/>
      <c r="E27" s="158">
        <f ca="1">IFERROR(COUNTIFS(IPQC_Records[[No.]:[No.]],Charts!$A27,IPQC_Records[[Line1]:[Line1]],Charts!$B27,IPQC_Records[[Month]:[Month]],E$22)/E$24,0)</f>
        <v>0</v>
      </c>
      <c r="F27" s="158">
        <f ca="1">IFERROR(COUNTIFS(IPQC_Records[[No.]:[No.]],Charts!$A27,IPQC_Records[[Line1]:[Line1]],Charts!$B27,IPQC_Records[[Month]:[Month]],F$22)/F$24,0)</f>
        <v>0</v>
      </c>
      <c r="G27" s="158">
        <f ca="1">IFERROR(COUNTIFS(IPQC_Records[[No.]:[No.]],Charts!$A27,IPQC_Records[[Line1]:[Line1]],Charts!$B27,IPQC_Records[[Month]:[Month]],G$22)/G$24,0)</f>
        <v>0</v>
      </c>
      <c r="H27" s="158">
        <f ca="1">IFERROR(COUNTIFS(IPQC_Records[[No.]:[No.]],Charts!$A27,IPQC_Records[[Line1]:[Line1]],Charts!$B27,IPQC_Records[[Month]:[Month]],H$22)/H$24,0)</f>
        <v>0</v>
      </c>
      <c r="I27" s="158">
        <f ca="1">IFERROR(COUNTIFS(IPQC_Records[[No.]:[No.]],Charts!$A27,IPQC_Records[[Line1]:[Line1]],Charts!$B27,IPQC_Records[[Month]:[Month]],I$22)/I$24,0)</f>
        <v>0</v>
      </c>
      <c r="J27" s="158">
        <f ca="1">IFERROR(COUNTIFS(IPQC_Records[[No.]:[No.]],Charts!$A27,IPQC_Records[[Line1]:[Line1]],Charts!$B27,IPQC_Records[[Month]:[Month]],J$22)/J$24,0)</f>
        <v>0</v>
      </c>
      <c r="K27" s="158">
        <f ca="1">IFERROR(COUNTIFS(IPQC_Records[[No.]:[No.]],Charts!$A27,IPQC_Records[[Line1]:[Line1]],Charts!$B27,IPQC_Records[[Month]:[Month]],K$22)/K$24,0)</f>
        <v>0</v>
      </c>
      <c r="L27" s="157"/>
      <c r="M27" s="158">
        <f ca="1">IFERROR(COUNTIFS(IPQC_Records[[No.]:[No.]],Charts!$A27,IPQC_Records[[Line1]:[Line1]],Charts!$B27,IPQC_Records[[CW]:[CW]],M$22)/M$24,0)</f>
        <v>0</v>
      </c>
      <c r="N27" s="158">
        <f ca="1">IFERROR(COUNTIFS(IPQC_Records[[No.]:[No.]],Charts!$A27,IPQC_Records[[Line1]:[Line1]],Charts!$B27,IPQC_Records[[CW]:[CW]],N$22)/N$24,0)</f>
        <v>0</v>
      </c>
      <c r="O27" s="158">
        <f ca="1">IFERROR(COUNTIFS(IPQC_Records[[No.]:[No.]],Charts!$A27,IPQC_Records[[Line1]:[Line1]],Charts!$B27,IPQC_Records[[CW]:[CW]],O$22)/O$24,0)</f>
        <v>0</v>
      </c>
      <c r="P27" s="158">
        <f ca="1">IFERROR(COUNTIFS(IPQC_Records[[No.]:[No.]],Charts!$A27,IPQC_Records[[Line1]:[Line1]],Charts!$B27,IPQC_Records[[CW]:[CW]],P$22)/P$24,0)</f>
        <v>0</v>
      </c>
      <c r="Q27" s="159">
        <f ca="1">IFERROR(COUNTIFS(IPQC_Records[[No.]:[No.]],Charts!$A27,IPQC_Records[[Line1]:[Line1]],Charts!$B27,IPQC_Records[[CW]:[CW]],Q$22)/Q$24,0)</f>
        <v>0</v>
      </c>
    </row>
    <row r="28" spans="1:17">
      <c r="A28" s="120" t="e">
        <v>#N/A</v>
      </c>
      <c r="B28" s="150" t="s">
        <v>597</v>
      </c>
      <c r="C28" s="158">
        <f>IFERROR(COUNTIFS(IPQC_Records[No.],Charts!A28,IPQC_Records[Line1],Charts!B28)/$C$24,0)</f>
        <v>0</v>
      </c>
      <c r="D28" s="157"/>
      <c r="E28" s="158">
        <f ca="1">IFERROR(COUNTIFS(IPQC_Records[[No.]:[No.]],Charts!$A28,IPQC_Records[[Line1]:[Line1]],Charts!$B28,IPQC_Records[[Month]:[Month]],E$22)/E$24,0)</f>
        <v>0</v>
      </c>
      <c r="F28" s="158">
        <f ca="1">IFERROR(COUNTIFS(IPQC_Records[[No.]:[No.]],Charts!$A28,IPQC_Records[[Line1]:[Line1]],Charts!$B28,IPQC_Records[[Month]:[Month]],F$22)/F$24,0)</f>
        <v>0</v>
      </c>
      <c r="G28" s="158">
        <f ca="1">IFERROR(COUNTIFS(IPQC_Records[[No.]:[No.]],Charts!$A28,IPQC_Records[[Line1]:[Line1]],Charts!$B28,IPQC_Records[[Month]:[Month]],G$22)/G$24,0)</f>
        <v>0</v>
      </c>
      <c r="H28" s="158">
        <f ca="1">IFERROR(COUNTIFS(IPQC_Records[[No.]:[No.]],Charts!$A28,IPQC_Records[[Line1]:[Line1]],Charts!$B28,IPQC_Records[[Month]:[Month]],H$22)/H$24,0)</f>
        <v>0</v>
      </c>
      <c r="I28" s="158">
        <f ca="1">IFERROR(COUNTIFS(IPQC_Records[[No.]:[No.]],Charts!$A28,IPQC_Records[[Line1]:[Line1]],Charts!$B28,IPQC_Records[[Month]:[Month]],I$22)/I$24,0)</f>
        <v>0</v>
      </c>
      <c r="J28" s="158">
        <f ca="1">IFERROR(COUNTIFS(IPQC_Records[[No.]:[No.]],Charts!$A28,IPQC_Records[[Line1]:[Line1]],Charts!$B28,IPQC_Records[[Month]:[Month]],J$22)/J$24,0)</f>
        <v>0</v>
      </c>
      <c r="K28" s="158">
        <f ca="1">IFERROR(COUNTIFS(IPQC_Records[[No.]:[No.]],Charts!$A28,IPQC_Records[[Line1]:[Line1]],Charts!$B28,IPQC_Records[[Month]:[Month]],K$22)/K$24,0)</f>
        <v>0</v>
      </c>
      <c r="L28" s="157"/>
      <c r="M28" s="158">
        <f ca="1">IFERROR(COUNTIFS(IPQC_Records[[No.]:[No.]],Charts!$A28,IPQC_Records[[Line1]:[Line1]],Charts!$B28,IPQC_Records[[CW]:[CW]],M$22)/M$24,0)</f>
        <v>0</v>
      </c>
      <c r="N28" s="158">
        <f ca="1">IFERROR(COUNTIFS(IPQC_Records[[No.]:[No.]],Charts!$A28,IPQC_Records[[Line1]:[Line1]],Charts!$B28,IPQC_Records[[CW]:[CW]],N$22)/N$24,0)</f>
        <v>0</v>
      </c>
      <c r="O28" s="158">
        <f ca="1">IFERROR(COUNTIFS(IPQC_Records[[No.]:[No.]],Charts!$A28,IPQC_Records[[Line1]:[Line1]],Charts!$B28,IPQC_Records[[CW]:[CW]],O$22)/O$24,0)</f>
        <v>0</v>
      </c>
      <c r="P28" s="158">
        <f ca="1">IFERROR(COUNTIFS(IPQC_Records[[No.]:[No.]],Charts!$A28,IPQC_Records[[Line1]:[Line1]],Charts!$B28,IPQC_Records[[CW]:[CW]],P$22)/P$24,0)</f>
        <v>0</v>
      </c>
      <c r="Q28" s="159">
        <f ca="1">IFERROR(COUNTIFS(IPQC_Records[[No.]:[No.]],Charts!$A28,IPQC_Records[[Line1]:[Line1]],Charts!$B28,IPQC_Records[[CW]:[CW]],Q$22)/Q$24,0)</f>
        <v>0</v>
      </c>
    </row>
    <row r="29" spans="1:17">
      <c r="A29" s="120" t="e">
        <v>#N/A</v>
      </c>
      <c r="B29" s="150" t="s">
        <v>597</v>
      </c>
      <c r="C29" s="158">
        <f>IFERROR(COUNTIFS(IPQC_Records[No.],Charts!A29,IPQC_Records[Line1],Charts!B29)/$C$24,0)</f>
        <v>0</v>
      </c>
      <c r="D29" s="157"/>
      <c r="E29" s="158">
        <f ca="1">IFERROR(COUNTIFS(IPQC_Records[[No.]:[No.]],Charts!$A29,IPQC_Records[[Line1]:[Line1]],Charts!$B29,IPQC_Records[[Month]:[Month]],E$22)/E$24,0)</f>
        <v>0</v>
      </c>
      <c r="F29" s="158">
        <f ca="1">IFERROR(COUNTIFS(IPQC_Records[[No.]:[No.]],Charts!$A29,IPQC_Records[[Line1]:[Line1]],Charts!$B29,IPQC_Records[[Month]:[Month]],F$22)/F$24,0)</f>
        <v>0</v>
      </c>
      <c r="G29" s="158">
        <f ca="1">IFERROR(COUNTIFS(IPQC_Records[[No.]:[No.]],Charts!$A29,IPQC_Records[[Line1]:[Line1]],Charts!$B29,IPQC_Records[[Month]:[Month]],G$22)/G$24,0)</f>
        <v>0</v>
      </c>
      <c r="H29" s="158">
        <f ca="1">IFERROR(COUNTIFS(IPQC_Records[[No.]:[No.]],Charts!$A29,IPQC_Records[[Line1]:[Line1]],Charts!$B29,IPQC_Records[[Month]:[Month]],H$22)/H$24,0)</f>
        <v>0</v>
      </c>
      <c r="I29" s="158">
        <f ca="1">IFERROR(COUNTIFS(IPQC_Records[[No.]:[No.]],Charts!$A29,IPQC_Records[[Line1]:[Line1]],Charts!$B29,IPQC_Records[[Month]:[Month]],I$22)/I$24,0)</f>
        <v>0</v>
      </c>
      <c r="J29" s="158">
        <f ca="1">IFERROR(COUNTIFS(IPQC_Records[[No.]:[No.]],Charts!$A29,IPQC_Records[[Line1]:[Line1]],Charts!$B29,IPQC_Records[[Month]:[Month]],J$22)/J$24,0)</f>
        <v>0</v>
      </c>
      <c r="K29" s="158">
        <f ca="1">IFERROR(COUNTIFS(IPQC_Records[[No.]:[No.]],Charts!$A29,IPQC_Records[[Line1]:[Line1]],Charts!$B29,IPQC_Records[[Month]:[Month]],K$22)/K$24,0)</f>
        <v>0</v>
      </c>
      <c r="L29" s="157"/>
      <c r="M29" s="158">
        <f ca="1">IFERROR(COUNTIFS(IPQC_Records[[No.]:[No.]],Charts!$A29,IPQC_Records[[Line1]:[Line1]],Charts!$B29,IPQC_Records[[CW]:[CW]],M$22)/M$24,0)</f>
        <v>0</v>
      </c>
      <c r="N29" s="158">
        <f ca="1">IFERROR(COUNTIFS(IPQC_Records[[No.]:[No.]],Charts!$A29,IPQC_Records[[Line1]:[Line1]],Charts!$B29,IPQC_Records[[CW]:[CW]],N$22)/N$24,0)</f>
        <v>0</v>
      </c>
      <c r="O29" s="158">
        <f ca="1">IFERROR(COUNTIFS(IPQC_Records[[No.]:[No.]],Charts!$A29,IPQC_Records[[Line1]:[Line1]],Charts!$B29,IPQC_Records[[CW]:[CW]],O$22)/O$24,0)</f>
        <v>0</v>
      </c>
      <c r="P29" s="158">
        <f ca="1">IFERROR(COUNTIFS(IPQC_Records[[No.]:[No.]],Charts!$A29,IPQC_Records[[Line1]:[Line1]],Charts!$B29,IPQC_Records[[CW]:[CW]],P$22)/P$24,0)</f>
        <v>0</v>
      </c>
      <c r="Q29" s="159">
        <f ca="1">IFERROR(COUNTIFS(IPQC_Records[[No.]:[No.]],Charts!$A29,IPQC_Records[[Line1]:[Line1]],Charts!$B29,IPQC_Records[[CW]:[CW]],Q$22)/Q$24,0)</f>
        <v>0</v>
      </c>
    </row>
    <row r="30" spans="1:17">
      <c r="A30" s="171" t="s">
        <v>596</v>
      </c>
      <c r="B30" s="172" t="s">
        <v>598</v>
      </c>
      <c r="C30" s="174">
        <f>COUNTIFS(IPQC_Records[Line2],Charts!B30)</f>
        <v>0</v>
      </c>
      <c r="D30" s="173"/>
      <c r="E30" s="173">
        <f ca="1">COUNTIFS(IPQC_Records[[Line2]:[Line2]],Charts!$B30,IPQC_Records[[Month]:[Month]],E$22)</f>
        <v>0</v>
      </c>
      <c r="F30" s="173">
        <f ca="1">COUNTIFS(IPQC_Records[[Line2]:[Line2]],Charts!$B30,IPQC_Records[[Month]:[Month]],F$22)</f>
        <v>0</v>
      </c>
      <c r="G30" s="173">
        <f ca="1">COUNTIFS(IPQC_Records[[Line2]:[Line2]],Charts!$B30,IPQC_Records[[Month]:[Month]],G$22)</f>
        <v>0</v>
      </c>
      <c r="H30" s="173">
        <f ca="1">COUNTIFS(IPQC_Records[[Line2]:[Line2]],Charts!$B30,IPQC_Records[[Month]:[Month]],H$22)</f>
        <v>0</v>
      </c>
      <c r="I30" s="173">
        <f ca="1">COUNTIFS(IPQC_Records[[Line2]:[Line2]],Charts!$B30,IPQC_Records[[Month]:[Month]],I$22)</f>
        <v>0</v>
      </c>
      <c r="J30" s="173">
        <f ca="1">COUNTIFS(IPQC_Records[[Line2]:[Line2]],Charts!$B30,IPQC_Records[[Month]:[Month]],J$22)</f>
        <v>0</v>
      </c>
      <c r="K30" s="173">
        <f ca="1">COUNTIFS(IPQC_Records[[Line2]:[Line2]],Charts!$B30,IPQC_Records[[Month]:[Month]],K$22)</f>
        <v>0</v>
      </c>
      <c r="L30" s="173"/>
      <c r="M30" s="173">
        <f ca="1">COUNTIFS(IPQC_Records[[Line2]:[Line2]],Charts!$B30,IPQC_Records[[CW]:[CW]],M$22)</f>
        <v>0</v>
      </c>
      <c r="N30" s="173">
        <f ca="1">COUNTIFS(IPQC_Records[[Line2]:[Line2]],Charts!$B30,IPQC_Records[[CW]:[CW]],N$22)</f>
        <v>0</v>
      </c>
      <c r="O30" s="173">
        <f ca="1">COUNTIFS(IPQC_Records[[Line2]:[Line2]],Charts!$B30,IPQC_Records[[CW]:[CW]],O$22)</f>
        <v>0</v>
      </c>
      <c r="P30" s="173">
        <f ca="1">COUNTIFS(IPQC_Records[[Line2]:[Line2]],Charts!$B30,IPQC_Records[[CW]:[CW]],P$22)</f>
        <v>0</v>
      </c>
      <c r="Q30" s="176">
        <f ca="1">COUNTIFS(IPQC_Records[[Line2]:[Line2]],Charts!$B30,IPQC_Records[[CW]:[CW]],Q$22)</f>
        <v>0</v>
      </c>
    </row>
    <row r="31" spans="1:17">
      <c r="A31" s="120" t="e" cm="1">
        <f t="array" ref="A31:A35">IF($A$22="month",$B$6:$B$10,IF($A$22="Year",$B$15:$B$19))</f>
        <v>#N/A</v>
      </c>
      <c r="B31" s="149" t="s">
        <v>598</v>
      </c>
      <c r="C31" s="155">
        <f>IFERROR(COUNTIFS(IPQC_Records[No.],Charts!A31,IPQC_Records[Line2],Charts!B31)/$C$30,0)</f>
        <v>0</v>
      </c>
      <c r="D31" s="154"/>
      <c r="E31" s="155">
        <f ca="1">IFERROR(COUNTIFS(IPQC_Records[[No.]:[No.]],Charts!$A31,IPQC_Records[[Line2]:[Line2]],Charts!$B31,IPQC_Records[[Month]:[Month]],E$22)/E$30,0)</f>
        <v>0</v>
      </c>
      <c r="F31" s="155">
        <f ca="1">IFERROR(COUNTIFS(IPQC_Records[[No.]:[No.]],Charts!$A31,IPQC_Records[[Line2]:[Line2]],Charts!$B31,IPQC_Records[[Month]:[Month]],F$22)/F$30,0)</f>
        <v>0</v>
      </c>
      <c r="G31" s="155">
        <f ca="1">IFERROR(COUNTIFS(IPQC_Records[[No.]:[No.]],Charts!$A31,IPQC_Records[[Line2]:[Line2]],Charts!$B31,IPQC_Records[[Month]:[Month]],G$22)/G$30,0)</f>
        <v>0</v>
      </c>
      <c r="H31" s="155">
        <f ca="1">IFERROR(COUNTIFS(IPQC_Records[[No.]:[No.]],Charts!$A31,IPQC_Records[[Line2]:[Line2]],Charts!$B31,IPQC_Records[[Month]:[Month]],H$22)/H$30,0)</f>
        <v>0</v>
      </c>
      <c r="I31" s="155">
        <f ca="1">IFERROR(COUNTIFS(IPQC_Records[[No.]:[No.]],Charts!$A31,IPQC_Records[[Line2]:[Line2]],Charts!$B31,IPQC_Records[[Month]:[Month]],I$22)/I$30,0)</f>
        <v>0</v>
      </c>
      <c r="J31" s="155">
        <f ca="1">IFERROR(COUNTIFS(IPQC_Records[[No.]:[No.]],Charts!$A31,IPQC_Records[[Line2]:[Line2]],Charts!$B31,IPQC_Records[[Month]:[Month]],J$22)/J$30,0)</f>
        <v>0</v>
      </c>
      <c r="K31" s="155">
        <f ca="1">IFERROR(COUNTIFS(IPQC_Records[[No.]:[No.]],Charts!$A31,IPQC_Records[[Line2]:[Line2]],Charts!$B31,IPQC_Records[[Month]:[Month]],K$22)/K$30,0)</f>
        <v>0</v>
      </c>
      <c r="L31" s="154"/>
      <c r="M31" s="155">
        <f ca="1">IFERROR(COUNTIFS(IPQC_Records[[No.]:[No.]],Charts!$A31,IPQC_Records[[Line2]:[Line2]],Charts!$B31,IPQC_Records[[CW]:[CW]],M$22)/M$30,0)</f>
        <v>0</v>
      </c>
      <c r="N31" s="155">
        <f ca="1">IFERROR(COUNTIFS(IPQC_Records[[No.]:[No.]],Charts!$A31,IPQC_Records[[Line2]:[Line2]],Charts!$B31,IPQC_Records[[CW]:[CW]],N$22)/N$30,0)</f>
        <v>0</v>
      </c>
      <c r="O31" s="155">
        <f ca="1">IFERROR(COUNTIFS(IPQC_Records[[No.]:[No.]],Charts!$A31,IPQC_Records[[Line2]:[Line2]],Charts!$B31,IPQC_Records[[CW]:[CW]],O$22)/O$30,0)</f>
        <v>0</v>
      </c>
      <c r="P31" s="155">
        <f ca="1">IFERROR(COUNTIFS(IPQC_Records[[No.]:[No.]],Charts!$A31,IPQC_Records[[Line2]:[Line2]],Charts!$B31,IPQC_Records[[CW]:[CW]],P$22)/P$30,0)</f>
        <v>0</v>
      </c>
      <c r="Q31" s="156">
        <f ca="1">IFERROR(COUNTIFS(IPQC_Records[[No.]:[No.]],Charts!$A31,IPQC_Records[[Line2]:[Line2]],Charts!$B31,IPQC_Records[[CW]:[CW]],Q$22)/Q$30,0)</f>
        <v>0</v>
      </c>
    </row>
    <row r="32" spans="1:17">
      <c r="A32" s="120" t="e">
        <v>#N/A</v>
      </c>
      <c r="B32" s="149" t="s">
        <v>598</v>
      </c>
      <c r="C32" s="155">
        <f>IFERROR(COUNTIFS(IPQC_Records[No.],Charts!A32,IPQC_Records[Line2],Charts!B32)/$C$30,0)</f>
        <v>0</v>
      </c>
      <c r="D32" s="154"/>
      <c r="E32" s="155">
        <f ca="1">IFERROR(COUNTIFS(IPQC_Records[[No.]:[No.]],Charts!$A32,IPQC_Records[[Line2]:[Line2]],Charts!$B32,IPQC_Records[[Month]:[Month]],E$22)/E$30,0)</f>
        <v>0</v>
      </c>
      <c r="F32" s="155">
        <f ca="1">IFERROR(COUNTIFS(IPQC_Records[[No.]:[No.]],Charts!$A32,IPQC_Records[[Line2]:[Line2]],Charts!$B32,IPQC_Records[[Month]:[Month]],F$22)/F$30,0)</f>
        <v>0</v>
      </c>
      <c r="G32" s="155">
        <f ca="1">IFERROR(COUNTIFS(IPQC_Records[[No.]:[No.]],Charts!$A32,IPQC_Records[[Line2]:[Line2]],Charts!$B32,IPQC_Records[[Month]:[Month]],G$22)/G$30,0)</f>
        <v>0</v>
      </c>
      <c r="H32" s="155">
        <f ca="1">IFERROR(COUNTIFS(IPQC_Records[[No.]:[No.]],Charts!$A32,IPQC_Records[[Line2]:[Line2]],Charts!$B32,IPQC_Records[[Month]:[Month]],H$22)/H$30,0)</f>
        <v>0</v>
      </c>
      <c r="I32" s="155">
        <f ca="1">IFERROR(COUNTIFS(IPQC_Records[[No.]:[No.]],Charts!$A32,IPQC_Records[[Line2]:[Line2]],Charts!$B32,IPQC_Records[[Month]:[Month]],I$22)/I$30,0)</f>
        <v>0</v>
      </c>
      <c r="J32" s="155">
        <f ca="1">IFERROR(COUNTIFS(IPQC_Records[[No.]:[No.]],Charts!$A32,IPQC_Records[[Line2]:[Line2]],Charts!$B32,IPQC_Records[[Month]:[Month]],J$22)/J$30,0)</f>
        <v>0</v>
      </c>
      <c r="K32" s="155">
        <f ca="1">IFERROR(COUNTIFS(IPQC_Records[[No.]:[No.]],Charts!$A32,IPQC_Records[[Line2]:[Line2]],Charts!$B32,IPQC_Records[[Month]:[Month]],K$22)/K$30,0)</f>
        <v>0</v>
      </c>
      <c r="L32" s="154"/>
      <c r="M32" s="155">
        <f ca="1">IFERROR(COUNTIFS(IPQC_Records[[No.]:[No.]],Charts!$A32,IPQC_Records[[Line2]:[Line2]],Charts!$B32,IPQC_Records[[CW]:[CW]],M$22)/M$30,0)</f>
        <v>0</v>
      </c>
      <c r="N32" s="155">
        <f ca="1">IFERROR(COUNTIFS(IPQC_Records[[No.]:[No.]],Charts!$A32,IPQC_Records[[Line2]:[Line2]],Charts!$B32,IPQC_Records[[CW]:[CW]],N$22)/N$30,0)</f>
        <v>0</v>
      </c>
      <c r="O32" s="155">
        <f ca="1">IFERROR(COUNTIFS(IPQC_Records[[No.]:[No.]],Charts!$A32,IPQC_Records[[Line2]:[Line2]],Charts!$B32,IPQC_Records[[CW]:[CW]],O$22)/O$30,0)</f>
        <v>0</v>
      </c>
      <c r="P32" s="155">
        <f ca="1">IFERROR(COUNTIFS(IPQC_Records[[No.]:[No.]],Charts!$A32,IPQC_Records[[Line2]:[Line2]],Charts!$B32,IPQC_Records[[CW]:[CW]],P$22)/P$30,0)</f>
        <v>0</v>
      </c>
      <c r="Q32" s="156">
        <f ca="1">IFERROR(COUNTIFS(IPQC_Records[[No.]:[No.]],Charts!$A32,IPQC_Records[[Line2]:[Line2]],Charts!$B32,IPQC_Records[[CW]:[CW]],Q$22)/Q$30,0)</f>
        <v>0</v>
      </c>
    </row>
    <row r="33" spans="1:20">
      <c r="A33" s="120" t="e">
        <v>#N/A</v>
      </c>
      <c r="B33" s="149" t="s">
        <v>598</v>
      </c>
      <c r="C33" s="155">
        <f>IFERROR(COUNTIFS(IPQC_Records[No.],Charts!A33,IPQC_Records[Line2],Charts!B33)/$C$30,0)</f>
        <v>0</v>
      </c>
      <c r="D33" s="154"/>
      <c r="E33" s="155">
        <f ca="1">IFERROR(COUNTIFS(IPQC_Records[[No.]:[No.]],Charts!$A33,IPQC_Records[[Line2]:[Line2]],Charts!$B33,IPQC_Records[[Month]:[Month]],E$22)/E$30,0)</f>
        <v>0</v>
      </c>
      <c r="F33" s="155">
        <f ca="1">IFERROR(COUNTIFS(IPQC_Records[[No.]:[No.]],Charts!$A33,IPQC_Records[[Line2]:[Line2]],Charts!$B33,IPQC_Records[[Month]:[Month]],F$22)/F$30,0)</f>
        <v>0</v>
      </c>
      <c r="G33" s="155">
        <f ca="1">IFERROR(COUNTIFS(IPQC_Records[[No.]:[No.]],Charts!$A33,IPQC_Records[[Line2]:[Line2]],Charts!$B33,IPQC_Records[[Month]:[Month]],G$22)/G$30,0)</f>
        <v>0</v>
      </c>
      <c r="H33" s="155">
        <f ca="1">IFERROR(COUNTIFS(IPQC_Records[[No.]:[No.]],Charts!$A33,IPQC_Records[[Line2]:[Line2]],Charts!$B33,IPQC_Records[[Month]:[Month]],H$22)/H$30,0)</f>
        <v>0</v>
      </c>
      <c r="I33" s="155">
        <f ca="1">IFERROR(COUNTIFS(IPQC_Records[[No.]:[No.]],Charts!$A33,IPQC_Records[[Line2]:[Line2]],Charts!$B33,IPQC_Records[[Month]:[Month]],I$22)/I$30,0)</f>
        <v>0</v>
      </c>
      <c r="J33" s="155">
        <f ca="1">IFERROR(COUNTIFS(IPQC_Records[[No.]:[No.]],Charts!$A33,IPQC_Records[[Line2]:[Line2]],Charts!$B33,IPQC_Records[[Month]:[Month]],J$22)/J$30,0)</f>
        <v>0</v>
      </c>
      <c r="K33" s="155">
        <f ca="1">IFERROR(COUNTIFS(IPQC_Records[[No.]:[No.]],Charts!$A33,IPQC_Records[[Line2]:[Line2]],Charts!$B33,IPQC_Records[[Month]:[Month]],K$22)/K$30,0)</f>
        <v>0</v>
      </c>
      <c r="L33" s="154"/>
      <c r="M33" s="155">
        <f ca="1">IFERROR(COUNTIFS(IPQC_Records[[No.]:[No.]],Charts!$A33,IPQC_Records[[Line2]:[Line2]],Charts!$B33,IPQC_Records[[CW]:[CW]],M$22)/M$30,0)</f>
        <v>0</v>
      </c>
      <c r="N33" s="155">
        <f ca="1">IFERROR(COUNTIFS(IPQC_Records[[No.]:[No.]],Charts!$A33,IPQC_Records[[Line2]:[Line2]],Charts!$B33,IPQC_Records[[CW]:[CW]],N$22)/N$30,0)</f>
        <v>0</v>
      </c>
      <c r="O33" s="155">
        <f ca="1">IFERROR(COUNTIFS(IPQC_Records[[No.]:[No.]],Charts!$A33,IPQC_Records[[Line2]:[Line2]],Charts!$B33,IPQC_Records[[CW]:[CW]],O$22)/O$30,0)</f>
        <v>0</v>
      </c>
      <c r="P33" s="155">
        <f ca="1">IFERROR(COUNTIFS(IPQC_Records[[No.]:[No.]],Charts!$A33,IPQC_Records[[Line2]:[Line2]],Charts!$B33,IPQC_Records[[CW]:[CW]],P$22)/P$30,0)</f>
        <v>0</v>
      </c>
      <c r="Q33" s="156">
        <f ca="1">IFERROR(COUNTIFS(IPQC_Records[[No.]:[No.]],Charts!$A33,IPQC_Records[[Line2]:[Line2]],Charts!$B33,IPQC_Records[[CW]:[CW]],Q$22)/Q$30,0)</f>
        <v>0</v>
      </c>
    </row>
    <row r="34" spans="1:20">
      <c r="A34" s="120" t="e">
        <v>#N/A</v>
      </c>
      <c r="B34" s="149" t="s">
        <v>598</v>
      </c>
      <c r="C34" s="155">
        <f>IFERROR(COUNTIFS(IPQC_Records[No.],Charts!A34,IPQC_Records[Line2],Charts!B34)/$C$30,0)</f>
        <v>0</v>
      </c>
      <c r="D34" s="154"/>
      <c r="E34" s="155">
        <f ca="1">IFERROR(COUNTIFS(IPQC_Records[[No.]:[No.]],Charts!$A34,IPQC_Records[[Line2]:[Line2]],Charts!$B34,IPQC_Records[[Month]:[Month]],E$22)/E$30,0)</f>
        <v>0</v>
      </c>
      <c r="F34" s="155">
        <f ca="1">IFERROR(COUNTIFS(IPQC_Records[[No.]:[No.]],Charts!$A34,IPQC_Records[[Line2]:[Line2]],Charts!$B34,IPQC_Records[[Month]:[Month]],F$22)/F$30,0)</f>
        <v>0</v>
      </c>
      <c r="G34" s="155">
        <f ca="1">IFERROR(COUNTIFS(IPQC_Records[[No.]:[No.]],Charts!$A34,IPQC_Records[[Line2]:[Line2]],Charts!$B34,IPQC_Records[[Month]:[Month]],G$22)/G$30,0)</f>
        <v>0</v>
      </c>
      <c r="H34" s="155">
        <f ca="1">IFERROR(COUNTIFS(IPQC_Records[[No.]:[No.]],Charts!$A34,IPQC_Records[[Line2]:[Line2]],Charts!$B34,IPQC_Records[[Month]:[Month]],H$22)/H$30,0)</f>
        <v>0</v>
      </c>
      <c r="I34" s="155">
        <f ca="1">IFERROR(COUNTIFS(IPQC_Records[[No.]:[No.]],Charts!$A34,IPQC_Records[[Line2]:[Line2]],Charts!$B34,IPQC_Records[[Month]:[Month]],I$22)/I$30,0)</f>
        <v>0</v>
      </c>
      <c r="J34" s="155">
        <f ca="1">IFERROR(COUNTIFS(IPQC_Records[[No.]:[No.]],Charts!$A34,IPQC_Records[[Line2]:[Line2]],Charts!$B34,IPQC_Records[[Month]:[Month]],J$22)/J$30,0)</f>
        <v>0</v>
      </c>
      <c r="K34" s="155">
        <f ca="1">IFERROR(COUNTIFS(IPQC_Records[[No.]:[No.]],Charts!$A34,IPQC_Records[[Line2]:[Line2]],Charts!$B34,IPQC_Records[[Month]:[Month]],K$22)/K$30,0)</f>
        <v>0</v>
      </c>
      <c r="L34" s="154"/>
      <c r="M34" s="155">
        <f ca="1">IFERROR(COUNTIFS(IPQC_Records[[No.]:[No.]],Charts!$A34,IPQC_Records[[Line2]:[Line2]],Charts!$B34,IPQC_Records[[CW]:[CW]],M$22)/M$30,0)</f>
        <v>0</v>
      </c>
      <c r="N34" s="155">
        <f ca="1">IFERROR(COUNTIFS(IPQC_Records[[No.]:[No.]],Charts!$A34,IPQC_Records[[Line2]:[Line2]],Charts!$B34,IPQC_Records[[CW]:[CW]],N$22)/N$30,0)</f>
        <v>0</v>
      </c>
      <c r="O34" s="155">
        <f ca="1">IFERROR(COUNTIFS(IPQC_Records[[No.]:[No.]],Charts!$A34,IPQC_Records[[Line2]:[Line2]],Charts!$B34,IPQC_Records[[CW]:[CW]],O$22)/O$30,0)</f>
        <v>0</v>
      </c>
      <c r="P34" s="155">
        <f ca="1">IFERROR(COUNTIFS(IPQC_Records[[No.]:[No.]],Charts!$A34,IPQC_Records[[Line2]:[Line2]],Charts!$B34,IPQC_Records[[CW]:[CW]],P$22)/P$30,0)</f>
        <v>0</v>
      </c>
      <c r="Q34" s="156">
        <f ca="1">IFERROR(COUNTIFS(IPQC_Records[[No.]:[No.]],Charts!$A34,IPQC_Records[[Line2]:[Line2]],Charts!$B34,IPQC_Records[[CW]:[CW]],Q$22)/Q$30,0)</f>
        <v>0</v>
      </c>
    </row>
    <row r="35" spans="1:20">
      <c r="A35" s="120" t="e">
        <v>#N/A</v>
      </c>
      <c r="B35" s="149" t="s">
        <v>598</v>
      </c>
      <c r="C35" s="155">
        <f>IFERROR(COUNTIFS(IPQC_Records[No.],Charts!A35,IPQC_Records[Line2],Charts!B35)/$C$30,0)</f>
        <v>0</v>
      </c>
      <c r="D35" s="154"/>
      <c r="E35" s="155">
        <f ca="1">IFERROR(COUNTIFS(IPQC_Records[[No.]:[No.]],Charts!$A35,IPQC_Records[[Line2]:[Line2]],Charts!$B35,IPQC_Records[[Month]:[Month]],E$22)/E$30,0)</f>
        <v>0</v>
      </c>
      <c r="F35" s="155">
        <f ca="1">IFERROR(COUNTIFS(IPQC_Records[[No.]:[No.]],Charts!$A35,IPQC_Records[[Line2]:[Line2]],Charts!$B35,IPQC_Records[[Month]:[Month]],F$22)/F$30,0)</f>
        <v>0</v>
      </c>
      <c r="G35" s="155">
        <f ca="1">IFERROR(COUNTIFS(IPQC_Records[[No.]:[No.]],Charts!$A35,IPQC_Records[[Line2]:[Line2]],Charts!$B35,IPQC_Records[[Month]:[Month]],G$22)/G$30,0)</f>
        <v>0</v>
      </c>
      <c r="H35" s="155">
        <f ca="1">IFERROR(COUNTIFS(IPQC_Records[[No.]:[No.]],Charts!$A35,IPQC_Records[[Line2]:[Line2]],Charts!$B35,IPQC_Records[[Month]:[Month]],H$22)/H$30,0)</f>
        <v>0</v>
      </c>
      <c r="I35" s="155">
        <f ca="1">IFERROR(COUNTIFS(IPQC_Records[[No.]:[No.]],Charts!$A35,IPQC_Records[[Line2]:[Line2]],Charts!$B35,IPQC_Records[[Month]:[Month]],I$22)/I$30,0)</f>
        <v>0</v>
      </c>
      <c r="J35" s="155">
        <f ca="1">IFERROR(COUNTIFS(IPQC_Records[[No.]:[No.]],Charts!$A35,IPQC_Records[[Line2]:[Line2]],Charts!$B35,IPQC_Records[[Month]:[Month]],J$22)/J$30,0)</f>
        <v>0</v>
      </c>
      <c r="K35" s="155">
        <f ca="1">IFERROR(COUNTIFS(IPQC_Records[[No.]:[No.]],Charts!$A35,IPQC_Records[[Line2]:[Line2]],Charts!$B35,IPQC_Records[[Month]:[Month]],K$22)/K$30,0)</f>
        <v>0</v>
      </c>
      <c r="L35" s="154"/>
      <c r="M35" s="155">
        <f ca="1">IFERROR(COUNTIFS(IPQC_Records[[No.]:[No.]],Charts!$A35,IPQC_Records[[Line2]:[Line2]],Charts!$B35,IPQC_Records[[CW]:[CW]],M$22)/M$30,0)</f>
        <v>0</v>
      </c>
      <c r="N35" s="155">
        <f ca="1">IFERROR(COUNTIFS(IPQC_Records[[No.]:[No.]],Charts!$A35,IPQC_Records[[Line2]:[Line2]],Charts!$B35,IPQC_Records[[CW]:[CW]],N$22)/N$30,0)</f>
        <v>0</v>
      </c>
      <c r="O35" s="155">
        <f ca="1">IFERROR(COUNTIFS(IPQC_Records[[No.]:[No.]],Charts!$A35,IPQC_Records[[Line2]:[Line2]],Charts!$B35,IPQC_Records[[CW]:[CW]],O$22)/O$30,0)</f>
        <v>0</v>
      </c>
      <c r="P35" s="155">
        <f ca="1">IFERROR(COUNTIFS(IPQC_Records[[No.]:[No.]],Charts!$A35,IPQC_Records[[Line2]:[Line2]],Charts!$B35,IPQC_Records[[CW]:[CW]],P$22)/P$30,0)</f>
        <v>0</v>
      </c>
      <c r="Q35" s="156">
        <f ca="1">IFERROR(COUNTIFS(IPQC_Records[[No.]:[No.]],Charts!$A35,IPQC_Records[[Line2]:[Line2]],Charts!$B35,IPQC_Records[[CW]:[CW]],Q$22)/Q$30,0)</f>
        <v>0</v>
      </c>
    </row>
    <row r="36" spans="1:20">
      <c r="A36" s="171" t="s">
        <v>596</v>
      </c>
      <c r="B36" s="172" t="s">
        <v>599</v>
      </c>
      <c r="C36" s="174">
        <f>COUNTIFS(IPQC_Records[Line3],Charts!B36)</f>
        <v>1</v>
      </c>
      <c r="D36" s="173"/>
      <c r="E36" s="173">
        <f ca="1">COUNTIFS(IPQC_Records[[Line3]:[Line3]],Charts!$B36,IPQC_Records[[Month]:[Month]],E$22)</f>
        <v>0</v>
      </c>
      <c r="F36" s="173">
        <f ca="1">COUNTIFS(IPQC_Records[[Line3]:[Line3]],Charts!$B36,IPQC_Records[[Month]:[Month]],F$22)</f>
        <v>0</v>
      </c>
      <c r="G36" s="173">
        <f ca="1">COUNTIFS(IPQC_Records[[Line3]:[Line3]],Charts!$B36,IPQC_Records[[Month]:[Month]],G$22)</f>
        <v>0</v>
      </c>
      <c r="H36" s="173">
        <f ca="1">COUNTIFS(IPQC_Records[[Line3]:[Line3]],Charts!$B36,IPQC_Records[[Month]:[Month]],H$22)</f>
        <v>0</v>
      </c>
      <c r="I36" s="173">
        <f ca="1">COUNTIFS(IPQC_Records[[Line3]:[Line3]],Charts!$B36,IPQC_Records[[Month]:[Month]],I$22)</f>
        <v>0</v>
      </c>
      <c r="J36" s="173">
        <f ca="1">COUNTIFS(IPQC_Records[[Line3]:[Line3]],Charts!$B36,IPQC_Records[[Month]:[Month]],J$22)</f>
        <v>0</v>
      </c>
      <c r="K36" s="173">
        <f ca="1">COUNTIFS(IPQC_Records[[Line3]:[Line3]],Charts!$B36,IPQC_Records[[Month]:[Month]],K$22)</f>
        <v>0</v>
      </c>
      <c r="L36" s="173"/>
      <c r="M36" s="173">
        <f ca="1">COUNTIFS(IPQC_Records[[Line3]:[Line3]],Charts!$B36,IPQC_Records[[CW]:[CW]],M$22)</f>
        <v>0</v>
      </c>
      <c r="N36" s="173">
        <f ca="1">COUNTIFS(IPQC_Records[[Line3]:[Line3]],Charts!$B36,IPQC_Records[[CW]:[CW]],N$22)</f>
        <v>0</v>
      </c>
      <c r="O36" s="173">
        <f ca="1">COUNTIFS(IPQC_Records[[Line3]:[Line3]],Charts!$B36,IPQC_Records[[CW]:[CW]],O$22)</f>
        <v>0</v>
      </c>
      <c r="P36" s="173">
        <f ca="1">COUNTIFS(IPQC_Records[[Line3]:[Line3]],Charts!$B36,IPQC_Records[[CW]:[CW]],P$22)</f>
        <v>0</v>
      </c>
      <c r="Q36" s="176">
        <f ca="1">COUNTIFS(IPQC_Records[[Line3]:[Line3]],Charts!$B36,IPQC_Records[[CW]:[CW]],Q$22)</f>
        <v>0</v>
      </c>
    </row>
    <row r="37" spans="1:20">
      <c r="A37" s="120" t="e" cm="1">
        <f t="array" ref="A37:A41">IF($A$22="month",$B$6:$B$10,IF($A$22="Year",$B$15:$B$19))</f>
        <v>#N/A</v>
      </c>
      <c r="B37" s="148" t="s">
        <v>599</v>
      </c>
      <c r="C37" s="152">
        <f>IFERROR(COUNTIFS(IPQC_Records[No.],Charts!A37,IPQC_Records[Line3],Charts!B37)/$C$36,0)</f>
        <v>0</v>
      </c>
      <c r="D37" s="151"/>
      <c r="E37" s="152">
        <f ca="1">IFERROR(COUNTIFS(IPQC_Records[[No.]:[No.]],Charts!$A37,IPQC_Records[[Line3]:[Line3]],Charts!$B37,IPQC_Records[[Month]:[Month]],E$22)/E$36,0)</f>
        <v>0</v>
      </c>
      <c r="F37" s="152">
        <f ca="1">IFERROR(COUNTIFS(IPQC_Records[[No.]:[No.]],Charts!$A37,IPQC_Records[[Line3]:[Line3]],Charts!$B37,IPQC_Records[[Month]:[Month]],F$22)/F$36,0)</f>
        <v>0</v>
      </c>
      <c r="G37" s="152">
        <f ca="1">IFERROR(COUNTIFS(IPQC_Records[[No.]:[No.]],Charts!$A37,IPQC_Records[[Line3]:[Line3]],Charts!$B37,IPQC_Records[[Month]:[Month]],G$22)/G$36,0)</f>
        <v>0</v>
      </c>
      <c r="H37" s="152">
        <f ca="1">IFERROR(COUNTIFS(IPQC_Records[[No.]:[No.]],Charts!$A37,IPQC_Records[[Line3]:[Line3]],Charts!$B37,IPQC_Records[[Month]:[Month]],H$22)/H$36,0)</f>
        <v>0</v>
      </c>
      <c r="I37" s="152">
        <f ca="1">IFERROR(COUNTIFS(IPQC_Records[[No.]:[No.]],Charts!$A37,IPQC_Records[[Line3]:[Line3]],Charts!$B37,IPQC_Records[[Month]:[Month]],I$22)/I$36,0)</f>
        <v>0</v>
      </c>
      <c r="J37" s="152">
        <f ca="1">IFERROR(COUNTIFS(IPQC_Records[[No.]:[No.]],Charts!$A37,IPQC_Records[[Line3]:[Line3]],Charts!$B37,IPQC_Records[[Month]:[Month]],J$22)/J$36,0)</f>
        <v>0</v>
      </c>
      <c r="K37" s="152">
        <f ca="1">IFERROR(COUNTIFS(IPQC_Records[[No.]:[No.]],Charts!$A37,IPQC_Records[[Line3]:[Line3]],Charts!$B37,IPQC_Records[[Month]:[Month]],K$22)/K$36,0)</f>
        <v>0</v>
      </c>
      <c r="L37" s="151"/>
      <c r="M37" s="152">
        <f ca="1">IFERROR(COUNTIFS(IPQC_Records[[No.]:[No.]],Charts!$A37,IPQC_Records[[Line3]:[Line3]],Charts!$B37,IPQC_Records[[CW]:[CW]],M$22)/M$36,0)</f>
        <v>0</v>
      </c>
      <c r="N37" s="152">
        <f ca="1">IFERROR(COUNTIFS(IPQC_Records[[No.]:[No.]],Charts!$A37,IPQC_Records[[Line3]:[Line3]],Charts!$B37,IPQC_Records[[CW]:[CW]],N$22)/N$36,0)</f>
        <v>0</v>
      </c>
      <c r="O37" s="152">
        <f ca="1">IFERROR(COUNTIFS(IPQC_Records[[No.]:[No.]],Charts!$A37,IPQC_Records[[Line3]:[Line3]],Charts!$B37,IPQC_Records[[CW]:[CW]],O$22)/O$36,0)</f>
        <v>0</v>
      </c>
      <c r="P37" s="152">
        <f ca="1">IFERROR(COUNTIFS(IPQC_Records[[No.]:[No.]],Charts!$A37,IPQC_Records[[Line3]:[Line3]],Charts!$B37,IPQC_Records[[CW]:[CW]],P$22)/P$36,0)</f>
        <v>0</v>
      </c>
      <c r="Q37" s="153">
        <f ca="1">IFERROR(COUNTIFS(IPQC_Records[[No.]:[No.]],Charts!$A37,IPQC_Records[[Line3]:[Line3]],Charts!$B37,IPQC_Records[[CW]:[CW]],Q$22)/Q$36,0)</f>
        <v>0</v>
      </c>
    </row>
    <row r="38" spans="1:20">
      <c r="A38" s="120" t="e">
        <v>#N/A</v>
      </c>
      <c r="B38" s="148" t="s">
        <v>599</v>
      </c>
      <c r="C38" s="152">
        <f>IFERROR(COUNTIFS(IPQC_Records[No.],Charts!A38,IPQC_Records[Line3],Charts!B38)/$C$36,0)</f>
        <v>0</v>
      </c>
      <c r="D38" s="151"/>
      <c r="E38" s="152">
        <f ca="1">IFERROR(COUNTIFS(IPQC_Records[[No.]:[No.]],Charts!$A38,IPQC_Records[[Line3]:[Line3]],Charts!$B38,IPQC_Records[[Month]:[Month]],E$22)/E$36,0)</f>
        <v>0</v>
      </c>
      <c r="F38" s="152">
        <f ca="1">IFERROR(COUNTIFS(IPQC_Records[[No.]:[No.]],Charts!$A38,IPQC_Records[[Line3]:[Line3]],Charts!$B38,IPQC_Records[[Month]:[Month]],F$22)/F$36,0)</f>
        <v>0</v>
      </c>
      <c r="G38" s="152">
        <f ca="1">IFERROR(COUNTIFS(IPQC_Records[[No.]:[No.]],Charts!$A38,IPQC_Records[[Line3]:[Line3]],Charts!$B38,IPQC_Records[[Month]:[Month]],G$22)/G$36,0)</f>
        <v>0</v>
      </c>
      <c r="H38" s="152">
        <f ca="1">IFERROR(COUNTIFS(IPQC_Records[[No.]:[No.]],Charts!$A38,IPQC_Records[[Line3]:[Line3]],Charts!$B38,IPQC_Records[[Month]:[Month]],H$22)/H$36,0)</f>
        <v>0</v>
      </c>
      <c r="I38" s="152">
        <f ca="1">IFERROR(COUNTIFS(IPQC_Records[[No.]:[No.]],Charts!$A38,IPQC_Records[[Line3]:[Line3]],Charts!$B38,IPQC_Records[[Month]:[Month]],I$22)/I$36,0)</f>
        <v>0</v>
      </c>
      <c r="J38" s="152">
        <f ca="1">IFERROR(COUNTIFS(IPQC_Records[[No.]:[No.]],Charts!$A38,IPQC_Records[[Line3]:[Line3]],Charts!$B38,IPQC_Records[[Month]:[Month]],J$22)/J$36,0)</f>
        <v>0</v>
      </c>
      <c r="K38" s="152">
        <f ca="1">IFERROR(COUNTIFS(IPQC_Records[[No.]:[No.]],Charts!$A38,IPQC_Records[[Line3]:[Line3]],Charts!$B38,IPQC_Records[[Month]:[Month]],K$22)/K$36,0)</f>
        <v>0</v>
      </c>
      <c r="L38" s="151"/>
      <c r="M38" s="152">
        <f ca="1">IFERROR(COUNTIFS(IPQC_Records[[No.]:[No.]],Charts!$A38,IPQC_Records[[Line3]:[Line3]],Charts!$B38,IPQC_Records[[CW]:[CW]],M$22)/M$36,0)</f>
        <v>0</v>
      </c>
      <c r="N38" s="152">
        <f ca="1">IFERROR(COUNTIFS(IPQC_Records[[No.]:[No.]],Charts!$A38,IPQC_Records[[Line3]:[Line3]],Charts!$B38,IPQC_Records[[CW]:[CW]],N$22)/N$36,0)</f>
        <v>0</v>
      </c>
      <c r="O38" s="152">
        <f ca="1">IFERROR(COUNTIFS(IPQC_Records[[No.]:[No.]],Charts!$A38,IPQC_Records[[Line3]:[Line3]],Charts!$B38,IPQC_Records[[CW]:[CW]],O$22)/O$36,0)</f>
        <v>0</v>
      </c>
      <c r="P38" s="152">
        <f ca="1">IFERROR(COUNTIFS(IPQC_Records[[No.]:[No.]],Charts!$A38,IPQC_Records[[Line3]:[Line3]],Charts!$B38,IPQC_Records[[CW]:[CW]],P$22)/P$36,0)</f>
        <v>0</v>
      </c>
      <c r="Q38" s="153">
        <f ca="1">IFERROR(COUNTIFS(IPQC_Records[[No.]:[No.]],Charts!$A38,IPQC_Records[[Line3]:[Line3]],Charts!$B38,IPQC_Records[[CW]:[CW]],Q$22)/Q$36,0)</f>
        <v>0</v>
      </c>
    </row>
    <row r="39" spans="1:20">
      <c r="A39" s="120" t="e">
        <v>#N/A</v>
      </c>
      <c r="B39" s="148" t="s">
        <v>599</v>
      </c>
      <c r="C39" s="152">
        <f>IFERROR(COUNTIFS(IPQC_Records[No.],Charts!A39,IPQC_Records[Line3],Charts!B39)/$C$36,0)</f>
        <v>0</v>
      </c>
      <c r="D39" s="151"/>
      <c r="E39" s="152">
        <f ca="1">IFERROR(COUNTIFS(IPQC_Records[[No.]:[No.]],Charts!$A39,IPQC_Records[[Line3]:[Line3]],Charts!$B39,IPQC_Records[[Month]:[Month]],E$22)/E$36,0)</f>
        <v>0</v>
      </c>
      <c r="F39" s="152">
        <f ca="1">IFERROR(COUNTIFS(IPQC_Records[[No.]:[No.]],Charts!$A39,IPQC_Records[[Line3]:[Line3]],Charts!$B39,IPQC_Records[[Month]:[Month]],F$22)/F$36,0)</f>
        <v>0</v>
      </c>
      <c r="G39" s="152">
        <f ca="1">IFERROR(COUNTIFS(IPQC_Records[[No.]:[No.]],Charts!$A39,IPQC_Records[[Line3]:[Line3]],Charts!$B39,IPQC_Records[[Month]:[Month]],G$22)/G$36,0)</f>
        <v>0</v>
      </c>
      <c r="H39" s="152">
        <f ca="1">IFERROR(COUNTIFS(IPQC_Records[[No.]:[No.]],Charts!$A39,IPQC_Records[[Line3]:[Line3]],Charts!$B39,IPQC_Records[[Month]:[Month]],H$22)/H$36,0)</f>
        <v>0</v>
      </c>
      <c r="I39" s="152">
        <f ca="1">IFERROR(COUNTIFS(IPQC_Records[[No.]:[No.]],Charts!$A39,IPQC_Records[[Line3]:[Line3]],Charts!$B39,IPQC_Records[[Month]:[Month]],I$22)/I$36,0)</f>
        <v>0</v>
      </c>
      <c r="J39" s="152">
        <f ca="1">IFERROR(COUNTIFS(IPQC_Records[[No.]:[No.]],Charts!$A39,IPQC_Records[[Line3]:[Line3]],Charts!$B39,IPQC_Records[[Month]:[Month]],J$22)/J$36,0)</f>
        <v>0</v>
      </c>
      <c r="K39" s="152">
        <f ca="1">IFERROR(COUNTIFS(IPQC_Records[[No.]:[No.]],Charts!$A39,IPQC_Records[[Line3]:[Line3]],Charts!$B39,IPQC_Records[[Month]:[Month]],K$22)/K$36,0)</f>
        <v>0</v>
      </c>
      <c r="L39" s="151"/>
      <c r="M39" s="152">
        <f ca="1">IFERROR(COUNTIFS(IPQC_Records[[No.]:[No.]],Charts!$A39,IPQC_Records[[Line3]:[Line3]],Charts!$B39,IPQC_Records[[CW]:[CW]],M$22)/M$36,0)</f>
        <v>0</v>
      </c>
      <c r="N39" s="152">
        <f ca="1">IFERROR(COUNTIFS(IPQC_Records[[No.]:[No.]],Charts!$A39,IPQC_Records[[Line3]:[Line3]],Charts!$B39,IPQC_Records[[CW]:[CW]],N$22)/N$36,0)</f>
        <v>0</v>
      </c>
      <c r="O39" s="152">
        <f ca="1">IFERROR(COUNTIFS(IPQC_Records[[No.]:[No.]],Charts!$A39,IPQC_Records[[Line3]:[Line3]],Charts!$B39,IPQC_Records[[CW]:[CW]],O$22)/O$36,0)</f>
        <v>0</v>
      </c>
      <c r="P39" s="152">
        <f ca="1">IFERROR(COUNTIFS(IPQC_Records[[No.]:[No.]],Charts!$A39,IPQC_Records[[Line3]:[Line3]],Charts!$B39,IPQC_Records[[CW]:[CW]],P$22)/P$36,0)</f>
        <v>0</v>
      </c>
      <c r="Q39" s="153">
        <f ca="1">IFERROR(COUNTIFS(IPQC_Records[[No.]:[No.]],Charts!$A39,IPQC_Records[[Line3]:[Line3]],Charts!$B39,IPQC_Records[[CW]:[CW]],Q$22)/Q$36,0)</f>
        <v>0</v>
      </c>
    </row>
    <row r="40" spans="1:20">
      <c r="A40" s="120" t="e">
        <v>#N/A</v>
      </c>
      <c r="B40" s="148" t="s">
        <v>599</v>
      </c>
      <c r="C40" s="152">
        <f>IFERROR(COUNTIFS(IPQC_Records[No.],Charts!A40,IPQC_Records[Line3],Charts!B40)/$C$36,0)</f>
        <v>0</v>
      </c>
      <c r="D40" s="151"/>
      <c r="E40" s="152">
        <f ca="1">IFERROR(COUNTIFS(IPQC_Records[[No.]:[No.]],Charts!$A40,IPQC_Records[[Line3]:[Line3]],Charts!$B40,IPQC_Records[[Month]:[Month]],E$22)/E$36,0)</f>
        <v>0</v>
      </c>
      <c r="F40" s="152">
        <f ca="1">IFERROR(COUNTIFS(IPQC_Records[[No.]:[No.]],Charts!$A40,IPQC_Records[[Line3]:[Line3]],Charts!$B40,IPQC_Records[[Month]:[Month]],F$22)/F$36,0)</f>
        <v>0</v>
      </c>
      <c r="G40" s="152">
        <f ca="1">IFERROR(COUNTIFS(IPQC_Records[[No.]:[No.]],Charts!$A40,IPQC_Records[[Line3]:[Line3]],Charts!$B40,IPQC_Records[[Month]:[Month]],G$22)/G$36,0)</f>
        <v>0</v>
      </c>
      <c r="H40" s="152">
        <f ca="1">IFERROR(COUNTIFS(IPQC_Records[[No.]:[No.]],Charts!$A40,IPQC_Records[[Line3]:[Line3]],Charts!$B40,IPQC_Records[[Month]:[Month]],H$22)/H$36,0)</f>
        <v>0</v>
      </c>
      <c r="I40" s="152">
        <f ca="1">IFERROR(COUNTIFS(IPQC_Records[[No.]:[No.]],Charts!$A40,IPQC_Records[[Line3]:[Line3]],Charts!$B40,IPQC_Records[[Month]:[Month]],I$22)/I$36,0)</f>
        <v>0</v>
      </c>
      <c r="J40" s="152">
        <f ca="1">IFERROR(COUNTIFS(IPQC_Records[[No.]:[No.]],Charts!$A40,IPQC_Records[[Line3]:[Line3]],Charts!$B40,IPQC_Records[[Month]:[Month]],J$22)/J$36,0)</f>
        <v>0</v>
      </c>
      <c r="K40" s="152">
        <f ca="1">IFERROR(COUNTIFS(IPQC_Records[[No.]:[No.]],Charts!$A40,IPQC_Records[[Line3]:[Line3]],Charts!$B40,IPQC_Records[[Month]:[Month]],K$22)/K$36,0)</f>
        <v>0</v>
      </c>
      <c r="L40" s="151"/>
      <c r="M40" s="152">
        <f ca="1">IFERROR(COUNTIFS(IPQC_Records[[No.]:[No.]],Charts!$A40,IPQC_Records[[Line3]:[Line3]],Charts!$B40,IPQC_Records[[CW]:[CW]],M$22)/M$36,0)</f>
        <v>0</v>
      </c>
      <c r="N40" s="152">
        <f ca="1">IFERROR(COUNTIFS(IPQC_Records[[No.]:[No.]],Charts!$A40,IPQC_Records[[Line3]:[Line3]],Charts!$B40,IPQC_Records[[CW]:[CW]],N$22)/N$36,0)</f>
        <v>0</v>
      </c>
      <c r="O40" s="152">
        <f ca="1">IFERROR(COUNTIFS(IPQC_Records[[No.]:[No.]],Charts!$A40,IPQC_Records[[Line3]:[Line3]],Charts!$B40,IPQC_Records[[CW]:[CW]],O$22)/O$36,0)</f>
        <v>0</v>
      </c>
      <c r="P40" s="152">
        <f ca="1">IFERROR(COUNTIFS(IPQC_Records[[No.]:[No.]],Charts!$A40,IPQC_Records[[Line3]:[Line3]],Charts!$B40,IPQC_Records[[CW]:[CW]],P$22)/P$36,0)</f>
        <v>0</v>
      </c>
      <c r="Q40" s="153">
        <f ca="1">IFERROR(COUNTIFS(IPQC_Records[[No.]:[No.]],Charts!$A40,IPQC_Records[[Line3]:[Line3]],Charts!$B40,IPQC_Records[[CW]:[CW]],Q$22)/Q$36,0)</f>
        <v>0</v>
      </c>
    </row>
    <row r="41" spans="1:20">
      <c r="A41" s="120" t="e">
        <v>#N/A</v>
      </c>
      <c r="B41" s="148" t="s">
        <v>599</v>
      </c>
      <c r="C41" s="152">
        <f>IFERROR(COUNTIFS(IPQC_Records[No.],Charts!A41,IPQC_Records[Line3],Charts!B41)/$C$36,0)</f>
        <v>0</v>
      </c>
      <c r="D41" s="151"/>
      <c r="E41" s="152">
        <f ca="1">IFERROR(COUNTIFS(IPQC_Records[[No.]:[No.]],Charts!$A41,IPQC_Records[[Line3]:[Line3]],Charts!$B41,IPQC_Records[[Month]:[Month]],E$22)/E$36,0)</f>
        <v>0</v>
      </c>
      <c r="F41" s="152">
        <f ca="1">IFERROR(COUNTIFS(IPQC_Records[[No.]:[No.]],Charts!$A41,IPQC_Records[[Line3]:[Line3]],Charts!$B41,IPQC_Records[[Month]:[Month]],F$22)/F$36,0)</f>
        <v>0</v>
      </c>
      <c r="G41" s="152">
        <f ca="1">IFERROR(COUNTIFS(IPQC_Records[[No.]:[No.]],Charts!$A41,IPQC_Records[[Line3]:[Line3]],Charts!$B41,IPQC_Records[[Month]:[Month]],G$22)/G$36,0)</f>
        <v>0</v>
      </c>
      <c r="H41" s="152">
        <f ca="1">IFERROR(COUNTIFS(IPQC_Records[[No.]:[No.]],Charts!$A41,IPQC_Records[[Line3]:[Line3]],Charts!$B41,IPQC_Records[[Month]:[Month]],H$22)/H$36,0)</f>
        <v>0</v>
      </c>
      <c r="I41" s="152">
        <f ca="1">IFERROR(COUNTIFS(IPQC_Records[[No.]:[No.]],Charts!$A41,IPQC_Records[[Line3]:[Line3]],Charts!$B41,IPQC_Records[[Month]:[Month]],I$22)/I$36,0)</f>
        <v>0</v>
      </c>
      <c r="J41" s="152">
        <f ca="1">IFERROR(COUNTIFS(IPQC_Records[[No.]:[No.]],Charts!$A41,IPQC_Records[[Line3]:[Line3]],Charts!$B41,IPQC_Records[[Month]:[Month]],J$22)/J$36,0)</f>
        <v>0</v>
      </c>
      <c r="K41" s="152">
        <f ca="1">IFERROR(COUNTIFS(IPQC_Records[[No.]:[No.]],Charts!$A41,IPQC_Records[[Line3]:[Line3]],Charts!$B41,IPQC_Records[[Month]:[Month]],K$22)/K$36,0)</f>
        <v>0</v>
      </c>
      <c r="L41" s="151"/>
      <c r="M41" s="152">
        <f ca="1">IFERROR(COUNTIFS(IPQC_Records[[No.]:[No.]],Charts!$A41,IPQC_Records[[Line3]:[Line3]],Charts!$B41,IPQC_Records[[CW]:[CW]],M$22)/M$36,0)</f>
        <v>0</v>
      </c>
      <c r="N41" s="152">
        <f ca="1">IFERROR(COUNTIFS(IPQC_Records[[No.]:[No.]],Charts!$A41,IPQC_Records[[Line3]:[Line3]],Charts!$B41,IPQC_Records[[CW]:[CW]],N$22)/N$36,0)</f>
        <v>0</v>
      </c>
      <c r="O41" s="152">
        <f ca="1">IFERROR(COUNTIFS(IPQC_Records[[No.]:[No.]],Charts!$A41,IPQC_Records[[Line3]:[Line3]],Charts!$B41,IPQC_Records[[CW]:[CW]],O$22)/O$36,0)</f>
        <v>0</v>
      </c>
      <c r="P41" s="152">
        <f ca="1">IFERROR(COUNTIFS(IPQC_Records[[No.]:[No.]],Charts!$A41,IPQC_Records[[Line3]:[Line3]],Charts!$B41,IPQC_Records[[CW]:[CW]],P$22)/P$36,0)</f>
        <v>0</v>
      </c>
      <c r="Q41" s="153">
        <f ca="1">IFERROR(COUNTIFS(IPQC_Records[[No.]:[No.]],Charts!$A41,IPQC_Records[[Line3]:[Line3]],Charts!$B41,IPQC_Records[[CW]:[CW]],Q$22)/Q$36,0)</f>
        <v>0</v>
      </c>
    </row>
    <row r="42" spans="1:20">
      <c r="A42" s="171" t="s">
        <v>596</v>
      </c>
      <c r="B42" s="172" t="s">
        <v>600</v>
      </c>
      <c r="C42" s="173">
        <f>SUM(C24,C30,C36)</f>
        <v>1</v>
      </c>
      <c r="D42" s="173"/>
      <c r="E42" s="174">
        <f ca="1">SUM(E24,E30,E36)</f>
        <v>0</v>
      </c>
      <c r="F42" s="174">
        <f t="shared" ref="F42:Q42" ca="1" si="7">SUM(F24,F30,F36)</f>
        <v>0</v>
      </c>
      <c r="G42" s="174">
        <f t="shared" ca="1" si="7"/>
        <v>0</v>
      </c>
      <c r="H42" s="174">
        <f t="shared" ca="1" si="7"/>
        <v>0</v>
      </c>
      <c r="I42" s="174">
        <f t="shared" ca="1" si="7"/>
        <v>0</v>
      </c>
      <c r="J42" s="174">
        <f t="shared" ca="1" si="7"/>
        <v>0</v>
      </c>
      <c r="K42" s="174">
        <f t="shared" ref="K42" ca="1" si="8">SUM(K24,K30,K36)</f>
        <v>0</v>
      </c>
      <c r="L42" s="174"/>
      <c r="M42" s="174">
        <f t="shared" ca="1" si="7"/>
        <v>0</v>
      </c>
      <c r="N42" s="174">
        <f t="shared" ca="1" si="7"/>
        <v>0</v>
      </c>
      <c r="O42" s="174">
        <f t="shared" ca="1" si="7"/>
        <v>0</v>
      </c>
      <c r="P42" s="174">
        <f t="shared" ca="1" si="7"/>
        <v>0</v>
      </c>
      <c r="Q42" s="175">
        <f t="shared" ca="1" si="7"/>
        <v>0</v>
      </c>
    </row>
    <row r="43" spans="1:20">
      <c r="A43" s="120" t="e" cm="1">
        <f t="array" ref="A43:A47">IF($A$22="month",$B$6:$B$10,IF($A$22="Year",$B$15:$B$19))</f>
        <v>#N/A</v>
      </c>
      <c r="B43" s="177" t="s">
        <v>600</v>
      </c>
      <c r="C43" s="160">
        <f>IFERROR(COUNTIFS(IPQC_Records[No.],Charts!A43)/$C$42,0)</f>
        <v>0</v>
      </c>
      <c r="D43" s="106"/>
      <c r="E43" s="160">
        <f ca="1">IFERROR(COUNTIFS(IPQC_Records[[No.]:[No.]],Charts!$A43,IPQC_Records[[Month]:[Month]],E$22)/E$42,0)</f>
        <v>0</v>
      </c>
      <c r="F43" s="160">
        <f ca="1">IFERROR(COUNTIFS(IPQC_Records[[No.]:[No.]],Charts!$A43,IPQC_Records[[Month]:[Month]],F$22)/F$42,0)</f>
        <v>0</v>
      </c>
      <c r="G43" s="160">
        <f ca="1">IFERROR(COUNTIFS(IPQC_Records[[No.]:[No.]],Charts!$A43,IPQC_Records[[Month]:[Month]],G$22)/G$42,0)</f>
        <v>0</v>
      </c>
      <c r="H43" s="160">
        <f ca="1">IFERROR(COUNTIFS(IPQC_Records[[No.]:[No.]],Charts!$A43,IPQC_Records[[Month]:[Month]],H$22)/H$42,0)</f>
        <v>0</v>
      </c>
      <c r="I43" s="160">
        <f ca="1">IFERROR(COUNTIFS(IPQC_Records[[No.]:[No.]],Charts!$A43,IPQC_Records[[Month]:[Month]],I$22)/I$42,0)</f>
        <v>0</v>
      </c>
      <c r="J43" s="160">
        <f ca="1">IFERROR(COUNTIFS(IPQC_Records[[No.]:[No.]],Charts!$A43,IPQC_Records[[Month]:[Month]],J$22)/J$42,0)</f>
        <v>0</v>
      </c>
      <c r="K43" s="160">
        <f ca="1">IFERROR(COUNTIFS(IPQC_Records[[No.]:[No.]],Charts!$A43,IPQC_Records[[Month]:[Month]],K$22)/K$42,0)</f>
        <v>0</v>
      </c>
      <c r="L43" s="106"/>
      <c r="M43" s="160">
        <f ca="1">IFERROR(COUNTIFS(IPQC_Records[[No.]:[No.]],Charts!$A43,IPQC_Records[[CW]:[CW]],M$22)/M$42,0)</f>
        <v>0</v>
      </c>
      <c r="N43" s="160">
        <f ca="1">IFERROR(COUNTIFS(IPQC_Records[[No.]:[No.]],Charts!$A43,IPQC_Records[[CW]:[CW]],N$22)/N$42,0)</f>
        <v>0</v>
      </c>
      <c r="O43" s="160">
        <f ca="1">IFERROR(COUNTIFS(IPQC_Records[[No.]:[No.]],Charts!$A43,IPQC_Records[[CW]:[CW]],O$22)/O$42,0)</f>
        <v>0</v>
      </c>
      <c r="P43" s="160">
        <f ca="1">IFERROR(COUNTIFS(IPQC_Records[[No.]:[No.]],Charts!$A43,IPQC_Records[[CW]:[CW]],P$22)/P$42,0)</f>
        <v>0</v>
      </c>
      <c r="Q43" s="161">
        <f ca="1">IFERROR(COUNTIFS(IPQC_Records[[No.]:[No.]],Charts!$A43,IPQC_Records[[CW]:[CW]],Q$22)/Q$42,0)</f>
        <v>0</v>
      </c>
    </row>
    <row r="44" spans="1:20">
      <c r="A44" s="120" t="e">
        <v>#N/A</v>
      </c>
      <c r="B44" s="177" t="s">
        <v>600</v>
      </c>
      <c r="C44" s="160">
        <f>IFERROR(COUNTIFS(IPQC_Records[No.],Charts!A44)/$C$42,0)</f>
        <v>0</v>
      </c>
      <c r="D44" s="106"/>
      <c r="E44" s="160">
        <f ca="1">IFERROR(COUNTIFS(IPQC_Records[[No.]:[No.]],Charts!$A44,IPQC_Records[[Month]:[Month]],E$22)/E$42,0)</f>
        <v>0</v>
      </c>
      <c r="F44" s="160">
        <f ca="1">IFERROR(COUNTIFS(IPQC_Records[[No.]:[No.]],Charts!$A44,IPQC_Records[[Month]:[Month]],F$22)/F$42,0)</f>
        <v>0</v>
      </c>
      <c r="G44" s="160">
        <f ca="1">IFERROR(COUNTIFS(IPQC_Records[[No.]:[No.]],Charts!$A44,IPQC_Records[[Month]:[Month]],G$22)/G$42,0)</f>
        <v>0</v>
      </c>
      <c r="H44" s="160">
        <f ca="1">IFERROR(COUNTIFS(IPQC_Records[[No.]:[No.]],Charts!$A44,IPQC_Records[[Month]:[Month]],H$22)/H$42,0)</f>
        <v>0</v>
      </c>
      <c r="I44" s="160">
        <f ca="1">IFERROR(COUNTIFS(IPQC_Records[[No.]:[No.]],Charts!$A44,IPQC_Records[[Month]:[Month]],I$22)/I$42,0)</f>
        <v>0</v>
      </c>
      <c r="J44" s="160">
        <f ca="1">IFERROR(COUNTIFS(IPQC_Records[[No.]:[No.]],Charts!$A44,IPQC_Records[[Month]:[Month]],J$22)/J$42,0)</f>
        <v>0</v>
      </c>
      <c r="K44" s="160">
        <f ca="1">IFERROR(COUNTIFS(IPQC_Records[[No.]:[No.]],Charts!$A44,IPQC_Records[[Month]:[Month]],K$22)/K$42,0)</f>
        <v>0</v>
      </c>
      <c r="L44" s="106"/>
      <c r="M44" s="160">
        <f ca="1">IFERROR(COUNTIFS(IPQC_Records[[No.]:[No.]],Charts!$A44,IPQC_Records[[CW]:[CW]],M$22)/M$42,0)</f>
        <v>0</v>
      </c>
      <c r="N44" s="160">
        <f ca="1">IFERROR(COUNTIFS(IPQC_Records[[No.]:[No.]],Charts!$A44,IPQC_Records[[CW]:[CW]],N$22)/N$42,0)</f>
        <v>0</v>
      </c>
      <c r="O44" s="160">
        <f ca="1">IFERROR(COUNTIFS(IPQC_Records[[No.]:[No.]],Charts!$A44,IPQC_Records[[CW]:[CW]],O$22)/O$42,0)</f>
        <v>0</v>
      </c>
      <c r="P44" s="160">
        <f ca="1">IFERROR(COUNTIFS(IPQC_Records[[No.]:[No.]],Charts!$A44,IPQC_Records[[CW]:[CW]],P$22)/P$42,0)</f>
        <v>0</v>
      </c>
      <c r="Q44" s="161">
        <f ca="1">IFERROR(COUNTIFS(IPQC_Records[[No.]:[No.]],Charts!$A44,IPQC_Records[[CW]:[CW]],Q$22)/Q$42,0)</f>
        <v>0</v>
      </c>
    </row>
    <row r="45" spans="1:20">
      <c r="A45" s="120" t="e">
        <v>#N/A</v>
      </c>
      <c r="B45" s="177" t="s">
        <v>600</v>
      </c>
      <c r="C45" s="160">
        <f>IFERROR(COUNTIFS(IPQC_Records[No.],Charts!A45)/$C$42,0)</f>
        <v>0</v>
      </c>
      <c r="D45" s="106"/>
      <c r="E45" s="160">
        <f ca="1">IFERROR(COUNTIFS(IPQC_Records[[No.]:[No.]],Charts!$A45,IPQC_Records[[Month]:[Month]],E$22)/E$42,0)</f>
        <v>0</v>
      </c>
      <c r="F45" s="160">
        <f ca="1">IFERROR(COUNTIFS(IPQC_Records[[No.]:[No.]],Charts!$A45,IPQC_Records[[Month]:[Month]],F$22)/F$42,0)</f>
        <v>0</v>
      </c>
      <c r="G45" s="160">
        <f ca="1">IFERROR(COUNTIFS(IPQC_Records[[No.]:[No.]],Charts!$A45,IPQC_Records[[Month]:[Month]],G$22)/G$42,0)</f>
        <v>0</v>
      </c>
      <c r="H45" s="160">
        <f ca="1">IFERROR(COUNTIFS(IPQC_Records[[No.]:[No.]],Charts!$A45,IPQC_Records[[Month]:[Month]],H$22)/H$42,0)</f>
        <v>0</v>
      </c>
      <c r="I45" s="160">
        <f ca="1">IFERROR(COUNTIFS(IPQC_Records[[No.]:[No.]],Charts!$A45,IPQC_Records[[Month]:[Month]],I$22)/I$42,0)</f>
        <v>0</v>
      </c>
      <c r="J45" s="160">
        <f ca="1">IFERROR(COUNTIFS(IPQC_Records[[No.]:[No.]],Charts!$A45,IPQC_Records[[Month]:[Month]],J$22)/J$42,0)</f>
        <v>0</v>
      </c>
      <c r="K45" s="160">
        <f ca="1">IFERROR(COUNTIFS(IPQC_Records[[No.]:[No.]],Charts!$A45,IPQC_Records[[Month]:[Month]],K$22)/K$42,0)</f>
        <v>0</v>
      </c>
      <c r="L45" s="106"/>
      <c r="M45" s="160">
        <f ca="1">IFERROR(COUNTIFS(IPQC_Records[[No.]:[No.]],Charts!$A45,IPQC_Records[[CW]:[CW]],M$22)/M$42,0)</f>
        <v>0</v>
      </c>
      <c r="N45" s="160">
        <f ca="1">IFERROR(COUNTIFS(IPQC_Records[[No.]:[No.]],Charts!$A45,IPQC_Records[[CW]:[CW]],N$22)/N$42,0)</f>
        <v>0</v>
      </c>
      <c r="O45" s="160">
        <f ca="1">IFERROR(COUNTIFS(IPQC_Records[[No.]:[No.]],Charts!$A45,IPQC_Records[[CW]:[CW]],O$22)/O$42,0)</f>
        <v>0</v>
      </c>
      <c r="P45" s="160">
        <f ca="1">IFERROR(COUNTIFS(IPQC_Records[[No.]:[No.]],Charts!$A45,IPQC_Records[[CW]:[CW]],P$22)/P$42,0)</f>
        <v>0</v>
      </c>
      <c r="Q45" s="161">
        <f ca="1">IFERROR(COUNTIFS(IPQC_Records[[No.]:[No.]],Charts!$A45,IPQC_Records[[CW]:[CW]],Q$22)/Q$42,0)</f>
        <v>0</v>
      </c>
    </row>
    <row r="46" spans="1:20">
      <c r="A46" s="120" t="e">
        <v>#N/A</v>
      </c>
      <c r="B46" s="177" t="s">
        <v>600</v>
      </c>
      <c r="C46" s="160">
        <f>IFERROR(COUNTIFS(IPQC_Records[No.],Charts!A46)/$C$42,0)</f>
        <v>0</v>
      </c>
      <c r="D46" s="106"/>
      <c r="E46" s="160">
        <f ca="1">IFERROR(COUNTIFS(IPQC_Records[[No.]:[No.]],Charts!$A46,IPQC_Records[[Month]:[Month]],E$22)/E$42,0)</f>
        <v>0</v>
      </c>
      <c r="F46" s="160">
        <f ca="1">IFERROR(COUNTIFS(IPQC_Records[[No.]:[No.]],Charts!$A46,IPQC_Records[[Month]:[Month]],F$22)/F$42,0)</f>
        <v>0</v>
      </c>
      <c r="G46" s="160">
        <f ca="1">IFERROR(COUNTIFS(IPQC_Records[[No.]:[No.]],Charts!$A46,IPQC_Records[[Month]:[Month]],G$22)/G$42,0)</f>
        <v>0</v>
      </c>
      <c r="H46" s="160">
        <f ca="1">IFERROR(COUNTIFS(IPQC_Records[[No.]:[No.]],Charts!$A46,IPQC_Records[[Month]:[Month]],H$22)/H$42,0)</f>
        <v>0</v>
      </c>
      <c r="I46" s="160">
        <f ca="1">IFERROR(COUNTIFS(IPQC_Records[[No.]:[No.]],Charts!$A46,IPQC_Records[[Month]:[Month]],I$22)/I$42,0)</f>
        <v>0</v>
      </c>
      <c r="J46" s="160">
        <f ca="1">IFERROR(COUNTIFS(IPQC_Records[[No.]:[No.]],Charts!$A46,IPQC_Records[[Month]:[Month]],J$22)/J$42,0)</f>
        <v>0</v>
      </c>
      <c r="K46" s="160">
        <f ca="1">IFERROR(COUNTIFS(IPQC_Records[[No.]:[No.]],Charts!$A46,IPQC_Records[[Month]:[Month]],K$22)/K$42,0)</f>
        <v>0</v>
      </c>
      <c r="L46" s="106"/>
      <c r="M46" s="160">
        <f ca="1">IFERROR(COUNTIFS(IPQC_Records[[No.]:[No.]],Charts!$A46,IPQC_Records[[CW]:[CW]],M$22)/M$42,0)</f>
        <v>0</v>
      </c>
      <c r="N46" s="160">
        <f ca="1">IFERROR(COUNTIFS(IPQC_Records[[No.]:[No.]],Charts!$A46,IPQC_Records[[CW]:[CW]],N$22)/N$42,0)</f>
        <v>0</v>
      </c>
      <c r="O46" s="160">
        <f ca="1">IFERROR(COUNTIFS(IPQC_Records[[No.]:[No.]],Charts!$A46,IPQC_Records[[CW]:[CW]],O$22)/O$42,0)</f>
        <v>0</v>
      </c>
      <c r="P46" s="160">
        <f ca="1">IFERROR(COUNTIFS(IPQC_Records[[No.]:[No.]],Charts!$A46,IPQC_Records[[CW]:[CW]],P$22)/P$42,0)</f>
        <v>0</v>
      </c>
      <c r="Q46" s="161">
        <f ca="1">IFERROR(COUNTIFS(IPQC_Records[[No.]:[No.]],Charts!$A46,IPQC_Records[[CW]:[CW]],Q$22)/Q$42,0)</f>
        <v>0</v>
      </c>
    </row>
    <row r="47" spans="1:20" ht="15" thickBot="1">
      <c r="A47" s="121" t="e">
        <v>#N/A</v>
      </c>
      <c r="B47" s="178" t="s">
        <v>600</v>
      </c>
      <c r="C47" s="163">
        <f>IFERROR(COUNTIFS(IPQC_Records[No.],Charts!A47)/$C$42,0)</f>
        <v>0</v>
      </c>
      <c r="D47" s="162"/>
      <c r="E47" s="163">
        <f ca="1">IFERROR(COUNTIFS(IPQC_Records[[No.]:[No.]],Charts!$A47,IPQC_Records[[Month]:[Month]],E$22)/E$42,0)</f>
        <v>0</v>
      </c>
      <c r="F47" s="163">
        <f ca="1">IFERROR(COUNTIFS(IPQC_Records[[No.]:[No.]],Charts!$A47,IPQC_Records[[Month]:[Month]],F$22)/F$42,0)</f>
        <v>0</v>
      </c>
      <c r="G47" s="163">
        <f ca="1">IFERROR(COUNTIFS(IPQC_Records[[No.]:[No.]],Charts!$A47,IPQC_Records[[Month]:[Month]],G$22)/G$42,0)</f>
        <v>0</v>
      </c>
      <c r="H47" s="163">
        <f ca="1">IFERROR(COUNTIFS(IPQC_Records[[No.]:[No.]],Charts!$A47,IPQC_Records[[Month]:[Month]],H$22)/H$42,0)</f>
        <v>0</v>
      </c>
      <c r="I47" s="163">
        <f ca="1">IFERROR(COUNTIFS(IPQC_Records[[No.]:[No.]],Charts!$A47,IPQC_Records[[Month]:[Month]],I$22)/I$42,0)</f>
        <v>0</v>
      </c>
      <c r="J47" s="163">
        <f ca="1">IFERROR(COUNTIFS(IPQC_Records[[No.]:[No.]],Charts!$A47,IPQC_Records[[Month]:[Month]],J$22)/J$42,0)</f>
        <v>0</v>
      </c>
      <c r="K47" s="163">
        <f ca="1">IFERROR(COUNTIFS(IPQC_Records[[No.]:[No.]],Charts!$A47,IPQC_Records[[Month]:[Month]],K$22)/K$42,0)</f>
        <v>0</v>
      </c>
      <c r="L47" s="162"/>
      <c r="M47" s="163">
        <f ca="1">IFERROR(COUNTIFS(IPQC_Records[[No.]:[No.]],Charts!$A47,IPQC_Records[[CW]:[CW]],M$22)/M$42,0)</f>
        <v>0</v>
      </c>
      <c r="N47" s="163">
        <f ca="1">IFERROR(COUNTIFS(IPQC_Records[[No.]:[No.]],Charts!$A47,IPQC_Records[[CW]:[CW]],N$22)/N$42,0)</f>
        <v>0</v>
      </c>
      <c r="O47" s="163">
        <f ca="1">IFERROR(COUNTIFS(IPQC_Records[[No.]:[No.]],Charts!$A47,IPQC_Records[[CW]:[CW]],O$22)/O$42,0)</f>
        <v>0</v>
      </c>
      <c r="P47" s="163">
        <f ca="1">IFERROR(COUNTIFS(IPQC_Records[[No.]:[No.]],Charts!$A47,IPQC_Records[[CW]:[CW]],P$22)/P$42,0)</f>
        <v>0</v>
      </c>
      <c r="Q47" s="164">
        <f ca="1">IFERROR(COUNTIFS(IPQC_Records[[No.]:[No.]],Charts!$A47,IPQC_Records[[CW]:[CW]],Q$22)/Q$42,0)</f>
        <v>0</v>
      </c>
    </row>
    <row r="48" spans="1:20" ht="15.75" customHeight="1" thickBot="1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</row>
    <row r="49" spans="1:17">
      <c r="A49" s="165"/>
      <c r="B49" s="166"/>
      <c r="C49" s="167" t="s">
        <v>595</v>
      </c>
      <c r="D49" s="168" t="s">
        <v>594</v>
      </c>
      <c r="E49" s="167" t="str">
        <f t="shared" ref="E49:I49" ca="1" si="9">TEXT(E$21*30,"mmm")&amp;" Avg"</f>
        <v>May Avg</v>
      </c>
      <c r="F49" s="167" t="str">
        <f t="shared" ca="1" si="9"/>
        <v>Jun Avg</v>
      </c>
      <c r="G49" s="167" t="str">
        <f t="shared" ca="1" si="9"/>
        <v>Jul Avg</v>
      </c>
      <c r="H49" s="167" t="str">
        <f t="shared" ca="1" si="9"/>
        <v>Aug Avg</v>
      </c>
      <c r="I49" s="167" t="str">
        <f t="shared" ca="1" si="9"/>
        <v>Sep Avg</v>
      </c>
      <c r="J49" s="167" t="str">
        <f ca="1">TEXT(J$21*30,"mmm")&amp;" Avg"</f>
        <v>Aug Avg</v>
      </c>
      <c r="K49" s="167" t="str">
        <f ca="1">TEXT(K$21*30,"mmm")&amp;" Avg"</f>
        <v>Sep Avg</v>
      </c>
      <c r="L49" s="167" t="s">
        <v>594</v>
      </c>
      <c r="M49" s="169" t="str">
        <f ca="1">"CW "&amp;M$22</f>
        <v>CW 41</v>
      </c>
      <c r="N49" s="169" t="str">
        <f t="shared" ref="N49:Q49" ca="1" si="10">"CW "&amp;N$22</f>
        <v>CW 42</v>
      </c>
      <c r="O49" s="169" t="str">
        <f t="shared" ca="1" si="10"/>
        <v>CW 43</v>
      </c>
      <c r="P49" s="169" t="str">
        <f t="shared" ca="1" si="10"/>
        <v>CW 44</v>
      </c>
      <c r="Q49" s="170" t="str">
        <f t="shared" ca="1" si="10"/>
        <v>CW 45</v>
      </c>
    </row>
    <row r="50" spans="1:17">
      <c r="A50" s="138" t="s">
        <v>596</v>
      </c>
      <c r="B50" s="182" t="s">
        <v>479</v>
      </c>
      <c r="C50" s="183">
        <f>COUNTIFS(IPQC_Records[Shift],Charts!B50)</f>
        <v>1</v>
      </c>
      <c r="D50" s="183"/>
      <c r="E50" s="183">
        <f ca="1">COUNTIFS(IPQC_Records[[Shift]:[Shift]],Charts!$B50,IPQC_Records[[Month]:[Month]],E$22)</f>
        <v>0</v>
      </c>
      <c r="F50" s="183">
        <f ca="1">COUNTIFS(IPQC_Records[[Shift]:[Shift]],Charts!$B50,IPQC_Records[[Month]:[Month]],F$22)</f>
        <v>0</v>
      </c>
      <c r="G50" s="183">
        <f ca="1">COUNTIFS(IPQC_Records[[Shift]:[Shift]],Charts!$B50,IPQC_Records[[Month]:[Month]],G$22)</f>
        <v>0</v>
      </c>
      <c r="H50" s="183">
        <f ca="1">COUNTIFS(IPQC_Records[[Shift]:[Shift]],Charts!$B50,IPQC_Records[[Month]:[Month]],H$22)</f>
        <v>0</v>
      </c>
      <c r="I50" s="183">
        <f ca="1">COUNTIFS(IPQC_Records[[Shift]:[Shift]],Charts!$B50,IPQC_Records[[Month]:[Month]],I$22)</f>
        <v>0</v>
      </c>
      <c r="J50" s="183">
        <f ca="1">COUNTIFS(IPQC_Records[[Shift]:[Shift]],Charts!$B50,IPQC_Records[[Month]:[Month]],J$22)</f>
        <v>0</v>
      </c>
      <c r="K50" s="183">
        <f ca="1">COUNTIFS(IPQC_Records[[Shift]:[Shift]],Charts!$B50,IPQC_Records[[Month]:[Month]],K$22)</f>
        <v>0</v>
      </c>
      <c r="L50" s="183"/>
      <c r="M50" s="183">
        <f ca="1">COUNTIFS(IPQC_Records[[Shift]:[Shift]],Charts!$B50,IPQC_Records[[CW]:[CW]],M$22)</f>
        <v>0</v>
      </c>
      <c r="N50" s="183">
        <f ca="1">COUNTIFS(IPQC_Records[[Shift]:[Shift]],Charts!$B50,IPQC_Records[[CW]:[CW]],N$22)</f>
        <v>0</v>
      </c>
      <c r="O50" s="183">
        <f ca="1">COUNTIFS(IPQC_Records[[Shift]:[Shift]],Charts!$B50,IPQC_Records[[CW]:[CW]],O$22)</f>
        <v>0</v>
      </c>
      <c r="P50" s="183">
        <f ca="1">COUNTIFS(IPQC_Records[[Shift]:[Shift]],Charts!$B50,IPQC_Records[[CW]:[CW]],P$22)</f>
        <v>0</v>
      </c>
      <c r="Q50" s="179">
        <f ca="1">COUNTIFS(IPQC_Records[[Shift]:[Shift]],Charts!$B50,IPQC_Records[[CW]:[CW]],Q$22)</f>
        <v>0</v>
      </c>
    </row>
    <row r="51" spans="1:17">
      <c r="A51" s="120" t="e" cm="1">
        <f t="array" ref="A51:A55">IF($A$22="month",$B$6:$B$10,IF($A$22="Year",$B$15:$B$19))</f>
        <v>#N/A</v>
      </c>
      <c r="B51" s="184" t="s">
        <v>479</v>
      </c>
      <c r="C51" s="185">
        <f>IFERROR(COUNTIFS(IPQC_Records[No.],Charts!A51,IPQC_Records[Shift],Charts!B51)/$C$50,0)</f>
        <v>0</v>
      </c>
      <c r="D51" s="186"/>
      <c r="E51" s="185">
        <f ca="1">IFERROR(COUNTIFS(IPQC_Records[[No.]:[No.]],Charts!$A51,IPQC_Records[[Shift]:[Shift]],Charts!$B51,IPQC_Records[[Month]:[Month]],E$22)/E$50,0)</f>
        <v>0</v>
      </c>
      <c r="F51" s="185">
        <f ca="1">IFERROR(COUNTIFS(IPQC_Records[[No.]:[No.]],Charts!$A51,IPQC_Records[[Shift]:[Shift]],Charts!$B51,IPQC_Records[[Month]:[Month]],F$22)/F$50,0)</f>
        <v>0</v>
      </c>
      <c r="G51" s="185">
        <f ca="1">IFERROR(COUNTIFS(IPQC_Records[[No.]:[No.]],Charts!$A51,IPQC_Records[[Shift]:[Shift]],Charts!$B51,IPQC_Records[[Month]:[Month]],G$22)/G$50,0)</f>
        <v>0</v>
      </c>
      <c r="H51" s="185">
        <f ca="1">IFERROR(COUNTIFS(IPQC_Records[[No.]:[No.]],Charts!$A51,IPQC_Records[[Shift]:[Shift]],Charts!$B51,IPQC_Records[[Month]:[Month]],H$22)/H$50,0)</f>
        <v>0</v>
      </c>
      <c r="I51" s="185">
        <f ca="1">IFERROR(COUNTIFS(IPQC_Records[[No.]:[No.]],Charts!$A51,IPQC_Records[[Shift]:[Shift]],Charts!$B51,IPQC_Records[[Month]:[Month]],I$22)/I$50,0)</f>
        <v>0</v>
      </c>
      <c r="J51" s="185">
        <f ca="1">IFERROR(COUNTIFS(IPQC_Records[[No.]:[No.]],Charts!$A51,IPQC_Records[[Shift]:[Shift]],Charts!$B51,IPQC_Records[[Month]:[Month]],J$22)/J$50,0)</f>
        <v>0</v>
      </c>
      <c r="K51" s="185">
        <f ca="1">IFERROR(COUNTIFS(IPQC_Records[[No.]:[No.]],Charts!$A51,IPQC_Records[[Shift]:[Shift]],Charts!$B51,IPQC_Records[[Month]:[Month]],K$22)/K$50,0)</f>
        <v>0</v>
      </c>
      <c r="L51" s="186"/>
      <c r="M51" s="185">
        <f ca="1">IFERROR(COUNTIFS(IPQC_Records[[No.]:[No.]],Charts!$A51,IPQC_Records[[Shift]:[Shift]],Charts!$B51,IPQC_Records[[CW]:[CW]],M$22)/M$50,0)</f>
        <v>0</v>
      </c>
      <c r="N51" s="185">
        <f ca="1">IFERROR(COUNTIFS(IPQC_Records[[No.]:[No.]],Charts!$A51,IPQC_Records[[Shift]:[Shift]],Charts!$B51,IPQC_Records[[CW]:[CW]],N$22)/N$50,0)</f>
        <v>0</v>
      </c>
      <c r="O51" s="185">
        <f ca="1">IFERROR(COUNTIFS(IPQC_Records[[No.]:[No.]],Charts!$A51,IPQC_Records[[Shift]:[Shift]],Charts!$B51,IPQC_Records[[CW]:[CW]],O$22)/O$50,0)</f>
        <v>0</v>
      </c>
      <c r="P51" s="185">
        <f ca="1">IFERROR(COUNTIFS(IPQC_Records[[No.]:[No.]],Charts!$A51,IPQC_Records[[Shift]:[Shift]],Charts!$B51,IPQC_Records[[CW]:[CW]],P$22)/P$50,0)</f>
        <v>0</v>
      </c>
      <c r="Q51" s="141">
        <f ca="1">IFERROR(COUNTIFS(IPQC_Records[[No.]:[No.]],Charts!$A51,IPQC_Records[[Shift]:[Shift]],Charts!$B51,IPQC_Records[[CW]:[CW]],Q$22)/Q$50,0)</f>
        <v>0</v>
      </c>
    </row>
    <row r="52" spans="1:17">
      <c r="A52" s="120" t="e">
        <v>#N/A</v>
      </c>
      <c r="B52" s="184" t="s">
        <v>479</v>
      </c>
      <c r="C52" s="185">
        <f>IFERROR(COUNTIFS(IPQC_Records[No.],Charts!A52,IPQC_Records[Shift],Charts!B52)/$C$50,0)</f>
        <v>0</v>
      </c>
      <c r="D52" s="186"/>
      <c r="E52" s="185">
        <f ca="1">IFERROR(COUNTIFS(IPQC_Records[[No.]:[No.]],Charts!$A52,IPQC_Records[[Shift]:[Shift]],Charts!$B52,IPQC_Records[[Month]:[Month]],E$22)/E$50,0)</f>
        <v>0</v>
      </c>
      <c r="F52" s="185">
        <f ca="1">IFERROR(COUNTIFS(IPQC_Records[[No.]:[No.]],Charts!$A52,IPQC_Records[[Shift]:[Shift]],Charts!$B52,IPQC_Records[[Month]:[Month]],F$22)/F$50,0)</f>
        <v>0</v>
      </c>
      <c r="G52" s="185">
        <f ca="1">IFERROR(COUNTIFS(IPQC_Records[[No.]:[No.]],Charts!$A52,IPQC_Records[[Shift]:[Shift]],Charts!$B52,IPQC_Records[[Month]:[Month]],G$22)/G$50,0)</f>
        <v>0</v>
      </c>
      <c r="H52" s="185">
        <f ca="1">IFERROR(COUNTIFS(IPQC_Records[[No.]:[No.]],Charts!$A52,IPQC_Records[[Shift]:[Shift]],Charts!$B52,IPQC_Records[[Month]:[Month]],H$22)/H$50,0)</f>
        <v>0</v>
      </c>
      <c r="I52" s="185">
        <f ca="1">IFERROR(COUNTIFS(IPQC_Records[[No.]:[No.]],Charts!$A52,IPQC_Records[[Shift]:[Shift]],Charts!$B52,IPQC_Records[[Month]:[Month]],I$22)/I$50,0)</f>
        <v>0</v>
      </c>
      <c r="J52" s="185">
        <f ca="1">IFERROR(COUNTIFS(IPQC_Records[[No.]:[No.]],Charts!$A52,IPQC_Records[[Shift]:[Shift]],Charts!$B52,IPQC_Records[[Month]:[Month]],J$22)/J$50,0)</f>
        <v>0</v>
      </c>
      <c r="K52" s="185">
        <f ca="1">IFERROR(COUNTIFS(IPQC_Records[[No.]:[No.]],Charts!$A52,IPQC_Records[[Shift]:[Shift]],Charts!$B52,IPQC_Records[[Month]:[Month]],K$22)/K$50,0)</f>
        <v>0</v>
      </c>
      <c r="L52" s="186"/>
      <c r="M52" s="185">
        <f ca="1">IFERROR(COUNTIFS(IPQC_Records[[No.]:[No.]],Charts!$A52,IPQC_Records[[Shift]:[Shift]],Charts!$B52,IPQC_Records[[CW]:[CW]],M$22)/M$50,0)</f>
        <v>0</v>
      </c>
      <c r="N52" s="185">
        <f ca="1">IFERROR(COUNTIFS(IPQC_Records[[No.]:[No.]],Charts!$A52,IPQC_Records[[Shift]:[Shift]],Charts!$B52,IPQC_Records[[CW]:[CW]],N$22)/N$50,0)</f>
        <v>0</v>
      </c>
      <c r="O52" s="185">
        <f ca="1">IFERROR(COUNTIFS(IPQC_Records[[No.]:[No.]],Charts!$A52,IPQC_Records[[Shift]:[Shift]],Charts!$B52,IPQC_Records[[CW]:[CW]],O$22)/O$50,0)</f>
        <v>0</v>
      </c>
      <c r="P52" s="185">
        <f ca="1">IFERROR(COUNTIFS(IPQC_Records[[No.]:[No.]],Charts!$A52,IPQC_Records[[Shift]:[Shift]],Charts!$B52,IPQC_Records[[CW]:[CW]],P$22)/P$50,0)</f>
        <v>0</v>
      </c>
      <c r="Q52" s="141">
        <f ca="1">IFERROR(COUNTIFS(IPQC_Records[[No.]:[No.]],Charts!$A52,IPQC_Records[[Shift]:[Shift]],Charts!$B52,IPQC_Records[[CW]:[CW]],Q$22)/Q$50,0)</f>
        <v>0</v>
      </c>
    </row>
    <row r="53" spans="1:17">
      <c r="A53" s="120" t="e">
        <v>#N/A</v>
      </c>
      <c r="B53" s="184" t="s">
        <v>479</v>
      </c>
      <c r="C53" s="185">
        <f>IFERROR(COUNTIFS(IPQC_Records[No.],Charts!A53,IPQC_Records[Shift],Charts!B53)/$C$50,0)</f>
        <v>0</v>
      </c>
      <c r="D53" s="186"/>
      <c r="E53" s="185">
        <f ca="1">IFERROR(COUNTIFS(IPQC_Records[[No.]:[No.]],Charts!$A53,IPQC_Records[[Shift]:[Shift]],Charts!$B53,IPQC_Records[[Month]:[Month]],E$22)/E$50,0)</f>
        <v>0</v>
      </c>
      <c r="F53" s="185">
        <f ca="1">IFERROR(COUNTIFS(IPQC_Records[[No.]:[No.]],Charts!$A53,IPQC_Records[[Shift]:[Shift]],Charts!$B53,IPQC_Records[[Month]:[Month]],F$22)/F$50,0)</f>
        <v>0</v>
      </c>
      <c r="G53" s="185">
        <f ca="1">IFERROR(COUNTIFS(IPQC_Records[[No.]:[No.]],Charts!$A53,IPQC_Records[[Shift]:[Shift]],Charts!$B53,IPQC_Records[[Month]:[Month]],G$22)/G$50,0)</f>
        <v>0</v>
      </c>
      <c r="H53" s="185">
        <f ca="1">IFERROR(COUNTIFS(IPQC_Records[[No.]:[No.]],Charts!$A53,IPQC_Records[[Shift]:[Shift]],Charts!$B53,IPQC_Records[[Month]:[Month]],H$22)/H$50,0)</f>
        <v>0</v>
      </c>
      <c r="I53" s="185">
        <f ca="1">IFERROR(COUNTIFS(IPQC_Records[[No.]:[No.]],Charts!$A53,IPQC_Records[[Shift]:[Shift]],Charts!$B53,IPQC_Records[[Month]:[Month]],I$22)/I$50,0)</f>
        <v>0</v>
      </c>
      <c r="J53" s="185">
        <f ca="1">IFERROR(COUNTIFS(IPQC_Records[[No.]:[No.]],Charts!$A53,IPQC_Records[[Shift]:[Shift]],Charts!$B53,IPQC_Records[[Month]:[Month]],J$22)/J$50,0)</f>
        <v>0</v>
      </c>
      <c r="K53" s="185">
        <f ca="1">IFERROR(COUNTIFS(IPQC_Records[[No.]:[No.]],Charts!$A53,IPQC_Records[[Shift]:[Shift]],Charts!$B53,IPQC_Records[[Month]:[Month]],K$22)/K$50,0)</f>
        <v>0</v>
      </c>
      <c r="L53" s="186"/>
      <c r="M53" s="185">
        <f ca="1">IFERROR(COUNTIFS(IPQC_Records[[No.]:[No.]],Charts!$A53,IPQC_Records[[Shift]:[Shift]],Charts!$B53,IPQC_Records[[CW]:[CW]],M$22)/M$50,0)</f>
        <v>0</v>
      </c>
      <c r="N53" s="185">
        <f ca="1">IFERROR(COUNTIFS(IPQC_Records[[No.]:[No.]],Charts!$A53,IPQC_Records[[Shift]:[Shift]],Charts!$B53,IPQC_Records[[CW]:[CW]],N$22)/N$50,0)</f>
        <v>0</v>
      </c>
      <c r="O53" s="185">
        <f ca="1">IFERROR(COUNTIFS(IPQC_Records[[No.]:[No.]],Charts!$A53,IPQC_Records[[Shift]:[Shift]],Charts!$B53,IPQC_Records[[CW]:[CW]],O$22)/O$50,0)</f>
        <v>0</v>
      </c>
      <c r="P53" s="185">
        <f ca="1">IFERROR(COUNTIFS(IPQC_Records[[No.]:[No.]],Charts!$A53,IPQC_Records[[Shift]:[Shift]],Charts!$B53,IPQC_Records[[CW]:[CW]],P$22)/P$50,0)</f>
        <v>0</v>
      </c>
      <c r="Q53" s="141">
        <f ca="1">IFERROR(COUNTIFS(IPQC_Records[[No.]:[No.]],Charts!$A53,IPQC_Records[[Shift]:[Shift]],Charts!$B53,IPQC_Records[[CW]:[CW]],Q$22)/Q$50,0)</f>
        <v>0</v>
      </c>
    </row>
    <row r="54" spans="1:17">
      <c r="A54" s="120" t="e">
        <v>#N/A</v>
      </c>
      <c r="B54" s="184" t="s">
        <v>479</v>
      </c>
      <c r="C54" s="185">
        <f>IFERROR(COUNTIFS(IPQC_Records[No.],Charts!A54,IPQC_Records[Shift],Charts!B54)/$C$50,0)</f>
        <v>0</v>
      </c>
      <c r="D54" s="186"/>
      <c r="E54" s="185">
        <f ca="1">IFERROR(COUNTIFS(IPQC_Records[[No.]:[No.]],Charts!$A54,IPQC_Records[[Shift]:[Shift]],Charts!$B54,IPQC_Records[[Month]:[Month]],E$22)/E$50,0)</f>
        <v>0</v>
      </c>
      <c r="F54" s="185">
        <f ca="1">IFERROR(COUNTIFS(IPQC_Records[[No.]:[No.]],Charts!$A54,IPQC_Records[[Shift]:[Shift]],Charts!$B54,IPQC_Records[[Month]:[Month]],F$22)/F$50,0)</f>
        <v>0</v>
      </c>
      <c r="G54" s="185">
        <f ca="1">IFERROR(COUNTIFS(IPQC_Records[[No.]:[No.]],Charts!$A54,IPQC_Records[[Shift]:[Shift]],Charts!$B54,IPQC_Records[[Month]:[Month]],G$22)/G$50,0)</f>
        <v>0</v>
      </c>
      <c r="H54" s="185">
        <f ca="1">IFERROR(COUNTIFS(IPQC_Records[[No.]:[No.]],Charts!$A54,IPQC_Records[[Shift]:[Shift]],Charts!$B54,IPQC_Records[[Month]:[Month]],H$22)/H$50,0)</f>
        <v>0</v>
      </c>
      <c r="I54" s="185">
        <f ca="1">IFERROR(COUNTIFS(IPQC_Records[[No.]:[No.]],Charts!$A54,IPQC_Records[[Shift]:[Shift]],Charts!$B54,IPQC_Records[[Month]:[Month]],I$22)/I$50,0)</f>
        <v>0</v>
      </c>
      <c r="J54" s="185">
        <f ca="1">IFERROR(COUNTIFS(IPQC_Records[[No.]:[No.]],Charts!$A54,IPQC_Records[[Shift]:[Shift]],Charts!$B54,IPQC_Records[[Month]:[Month]],J$22)/J$50,0)</f>
        <v>0</v>
      </c>
      <c r="K54" s="185">
        <f ca="1">IFERROR(COUNTIFS(IPQC_Records[[No.]:[No.]],Charts!$A54,IPQC_Records[[Shift]:[Shift]],Charts!$B54,IPQC_Records[[Month]:[Month]],K$22)/K$50,0)</f>
        <v>0</v>
      </c>
      <c r="L54" s="186"/>
      <c r="M54" s="185">
        <f ca="1">IFERROR(COUNTIFS(IPQC_Records[[No.]:[No.]],Charts!$A54,IPQC_Records[[Shift]:[Shift]],Charts!$B54,IPQC_Records[[CW]:[CW]],M$22)/M$50,0)</f>
        <v>0</v>
      </c>
      <c r="N54" s="185">
        <f ca="1">IFERROR(COUNTIFS(IPQC_Records[[No.]:[No.]],Charts!$A54,IPQC_Records[[Shift]:[Shift]],Charts!$B54,IPQC_Records[[CW]:[CW]],N$22)/N$50,0)</f>
        <v>0</v>
      </c>
      <c r="O54" s="185">
        <f ca="1">IFERROR(COUNTIFS(IPQC_Records[[No.]:[No.]],Charts!$A54,IPQC_Records[[Shift]:[Shift]],Charts!$B54,IPQC_Records[[CW]:[CW]],O$22)/O$50,0)</f>
        <v>0</v>
      </c>
      <c r="P54" s="185">
        <f ca="1">IFERROR(COUNTIFS(IPQC_Records[[No.]:[No.]],Charts!$A54,IPQC_Records[[Shift]:[Shift]],Charts!$B54,IPQC_Records[[CW]:[CW]],P$22)/P$50,0)</f>
        <v>0</v>
      </c>
      <c r="Q54" s="141">
        <f ca="1">IFERROR(COUNTIFS(IPQC_Records[[No.]:[No.]],Charts!$A54,IPQC_Records[[Shift]:[Shift]],Charts!$B54,IPQC_Records[[CW]:[CW]],Q$22)/Q$50,0)</f>
        <v>0</v>
      </c>
    </row>
    <row r="55" spans="1:17">
      <c r="A55" s="120" t="e">
        <v>#N/A</v>
      </c>
      <c r="B55" s="184" t="s">
        <v>479</v>
      </c>
      <c r="C55" s="185">
        <f>IFERROR(COUNTIFS(IPQC_Records[No.],Charts!A55,IPQC_Records[Shift],Charts!B55)/$C$50,0)</f>
        <v>0</v>
      </c>
      <c r="D55" s="186"/>
      <c r="E55" s="185">
        <f ca="1">IFERROR(COUNTIFS(IPQC_Records[[No.]:[No.]],Charts!$A55,IPQC_Records[[Shift]:[Shift]],Charts!$B55,IPQC_Records[[Month]:[Month]],E$22)/E$50,0)</f>
        <v>0</v>
      </c>
      <c r="F55" s="185">
        <f ca="1">IFERROR(COUNTIFS(IPQC_Records[[No.]:[No.]],Charts!$A55,IPQC_Records[[Shift]:[Shift]],Charts!$B55,IPQC_Records[[Month]:[Month]],F$22)/F$50,0)</f>
        <v>0</v>
      </c>
      <c r="G55" s="185">
        <f ca="1">IFERROR(COUNTIFS(IPQC_Records[[No.]:[No.]],Charts!$A55,IPQC_Records[[Shift]:[Shift]],Charts!$B55,IPQC_Records[[Month]:[Month]],G$22)/G$50,0)</f>
        <v>0</v>
      </c>
      <c r="H55" s="185">
        <f ca="1">IFERROR(COUNTIFS(IPQC_Records[[No.]:[No.]],Charts!$A55,IPQC_Records[[Shift]:[Shift]],Charts!$B55,IPQC_Records[[Month]:[Month]],H$22)/H$50,0)</f>
        <v>0</v>
      </c>
      <c r="I55" s="185">
        <f ca="1">IFERROR(COUNTIFS(IPQC_Records[[No.]:[No.]],Charts!$A55,IPQC_Records[[Shift]:[Shift]],Charts!$B55,IPQC_Records[[Month]:[Month]],I$22)/I$50,0)</f>
        <v>0</v>
      </c>
      <c r="J55" s="185">
        <f ca="1">IFERROR(COUNTIFS(IPQC_Records[[No.]:[No.]],Charts!$A55,IPQC_Records[[Shift]:[Shift]],Charts!$B55,IPQC_Records[[Month]:[Month]],J$22)/J$50,0)</f>
        <v>0</v>
      </c>
      <c r="K55" s="185">
        <f ca="1">IFERROR(COUNTIFS(IPQC_Records[[No.]:[No.]],Charts!$A55,IPQC_Records[[Shift]:[Shift]],Charts!$B55,IPQC_Records[[Month]:[Month]],K$22)/K$50,0)</f>
        <v>0</v>
      </c>
      <c r="L55" s="186"/>
      <c r="M55" s="185">
        <f ca="1">IFERROR(COUNTIFS(IPQC_Records[[No.]:[No.]],Charts!$A55,IPQC_Records[[Shift]:[Shift]],Charts!$B55,IPQC_Records[[CW]:[CW]],M$22)/M$50,0)</f>
        <v>0</v>
      </c>
      <c r="N55" s="185">
        <f ca="1">IFERROR(COUNTIFS(IPQC_Records[[No.]:[No.]],Charts!$A55,IPQC_Records[[Shift]:[Shift]],Charts!$B55,IPQC_Records[[CW]:[CW]],N$22)/N$50,0)</f>
        <v>0</v>
      </c>
      <c r="O55" s="185">
        <f ca="1">IFERROR(COUNTIFS(IPQC_Records[[No.]:[No.]],Charts!$A55,IPQC_Records[[Shift]:[Shift]],Charts!$B55,IPQC_Records[[CW]:[CW]],O$22)/O$50,0)</f>
        <v>0</v>
      </c>
      <c r="P55" s="185">
        <f ca="1">IFERROR(COUNTIFS(IPQC_Records[[No.]:[No.]],Charts!$A55,IPQC_Records[[Shift]:[Shift]],Charts!$B55,IPQC_Records[[CW]:[CW]],P$22)/P$50,0)</f>
        <v>0</v>
      </c>
      <c r="Q55" s="141">
        <f ca="1">IFERROR(COUNTIFS(IPQC_Records[[No.]:[No.]],Charts!$A55,IPQC_Records[[Shift]:[Shift]],Charts!$B55,IPQC_Records[[CW]:[CW]],Q$22)/Q$50,0)</f>
        <v>0</v>
      </c>
    </row>
    <row r="56" spans="1:17">
      <c r="A56" s="138" t="s">
        <v>596</v>
      </c>
      <c r="B56" s="182" t="s">
        <v>480</v>
      </c>
      <c r="C56" s="183">
        <f>COUNTIFS(IPQC_Records[Shift],Charts!B56)</f>
        <v>0</v>
      </c>
      <c r="D56" s="187"/>
      <c r="E56" s="187">
        <f ca="1">COUNTIFS(IPQC_Records[[Shift]:[Shift]],Charts!$B56,IPQC_Records[[Month]:[Month]],E$22)</f>
        <v>0</v>
      </c>
      <c r="F56" s="187">
        <f ca="1">COUNTIFS(IPQC_Records[[Shift]:[Shift]],Charts!$B56,IPQC_Records[[Month]:[Month]],F$22)</f>
        <v>0</v>
      </c>
      <c r="G56" s="187">
        <f ca="1">COUNTIFS(IPQC_Records[[Shift]:[Shift]],Charts!$B56,IPQC_Records[[Month]:[Month]],G$22)</f>
        <v>0</v>
      </c>
      <c r="H56" s="187">
        <f ca="1">COUNTIFS(IPQC_Records[[Shift]:[Shift]],Charts!$B56,IPQC_Records[[Month]:[Month]],H$22)</f>
        <v>0</v>
      </c>
      <c r="I56" s="187">
        <f ca="1">COUNTIFS(IPQC_Records[[Shift]:[Shift]],Charts!$B56,IPQC_Records[[Month]:[Month]],I$22)</f>
        <v>0</v>
      </c>
      <c r="J56" s="187">
        <f ca="1">COUNTIFS(IPQC_Records[[Shift]:[Shift]],Charts!$B56,IPQC_Records[[Month]:[Month]],J$22)</f>
        <v>0</v>
      </c>
      <c r="K56" s="187">
        <f ca="1">COUNTIFS(IPQC_Records[[Shift]:[Shift]],Charts!$B56,IPQC_Records[[Month]:[Month]],K$22)</f>
        <v>0</v>
      </c>
      <c r="L56" s="187"/>
      <c r="M56" s="187">
        <f ca="1">COUNTIFS(IPQC_Records[[Shift]:[Shift]],Charts!$B56,IPQC_Records[[CW]:[CW]],M$22)</f>
        <v>0</v>
      </c>
      <c r="N56" s="187">
        <f ca="1">COUNTIFS(IPQC_Records[[Shift]:[Shift]],Charts!$B56,IPQC_Records[[CW]:[CW]],N$22)</f>
        <v>0</v>
      </c>
      <c r="O56" s="187">
        <f ca="1">COUNTIFS(IPQC_Records[[Shift]:[Shift]],Charts!$B56,IPQC_Records[[CW]:[CW]],O$22)</f>
        <v>0</v>
      </c>
      <c r="P56" s="187">
        <f ca="1">COUNTIFS(IPQC_Records[[Shift]:[Shift]],Charts!$B56,IPQC_Records[[CW]:[CW]],P$22)</f>
        <v>0</v>
      </c>
      <c r="Q56" s="139">
        <f ca="1">COUNTIFS(IPQC_Records[[Shift]:[Shift]],Charts!$B56,IPQC_Records[[CW]:[CW]],Q$22)</f>
        <v>0</v>
      </c>
    </row>
    <row r="57" spans="1:17">
      <c r="A57" s="120" t="e" cm="1">
        <f t="array" ref="A57:A61">IF($A$22="month",$B$6:$B$10,IF($A$22="Year",$B$15:$B$19))</f>
        <v>#N/A</v>
      </c>
      <c r="B57" s="184" t="s">
        <v>480</v>
      </c>
      <c r="C57" s="185">
        <f>IFERROR(COUNTIFS(IPQC_Records[No.],Charts!A57,IPQC_Records[Shift],Charts!B57)/$C$56,0)</f>
        <v>0</v>
      </c>
      <c r="D57" s="186"/>
      <c r="E57" s="185">
        <f ca="1">IFERROR(COUNTIFS(IPQC_Records[[No.]:[No.]],Charts!$A57,IPQC_Records[[Shift]:[Shift]],Charts!$B57,IPQC_Records[[Month]:[Month]],E$22)/E$56,0)</f>
        <v>0</v>
      </c>
      <c r="F57" s="185">
        <f ca="1">IFERROR(COUNTIFS(IPQC_Records[[No.]:[No.]],Charts!$A57,IPQC_Records[[Shift]:[Shift]],Charts!$B57,IPQC_Records[[Month]:[Month]],F$22)/F$56,0)</f>
        <v>0</v>
      </c>
      <c r="G57" s="185">
        <f ca="1">IFERROR(COUNTIFS(IPQC_Records[[No.]:[No.]],Charts!$A57,IPQC_Records[[Shift]:[Shift]],Charts!$B57,IPQC_Records[[Month]:[Month]],G$22)/G$56,0)</f>
        <v>0</v>
      </c>
      <c r="H57" s="185">
        <f ca="1">IFERROR(COUNTIFS(IPQC_Records[[No.]:[No.]],Charts!$A57,IPQC_Records[[Shift]:[Shift]],Charts!$B57,IPQC_Records[[Month]:[Month]],H$22)/H$56,0)</f>
        <v>0</v>
      </c>
      <c r="I57" s="185">
        <f ca="1">IFERROR(COUNTIFS(IPQC_Records[[No.]:[No.]],Charts!$A57,IPQC_Records[[Shift]:[Shift]],Charts!$B57,IPQC_Records[[Month]:[Month]],I$22)/I$56,0)</f>
        <v>0</v>
      </c>
      <c r="J57" s="185">
        <f ca="1">IFERROR(COUNTIFS(IPQC_Records[[No.]:[No.]],Charts!$A57,IPQC_Records[[Shift]:[Shift]],Charts!$B57,IPQC_Records[[Month]:[Month]],J$22)/J$56,0)</f>
        <v>0</v>
      </c>
      <c r="K57" s="185">
        <f ca="1">IFERROR(COUNTIFS(IPQC_Records[[No.]:[No.]],Charts!$A57,IPQC_Records[[Shift]:[Shift]],Charts!$B57,IPQC_Records[[Month]:[Month]],K$22)/K$56,0)</f>
        <v>0</v>
      </c>
      <c r="L57" s="186"/>
      <c r="M57" s="185">
        <f ca="1">IFERROR(COUNTIFS(IPQC_Records[[No.]:[No.]],Charts!$A57,IPQC_Records[[Shift]:[Shift]],Charts!$B57,IPQC_Records[[CW]:[CW]],M$22)/M$56,0)</f>
        <v>0</v>
      </c>
      <c r="N57" s="185">
        <f ca="1">IFERROR(COUNTIFS(IPQC_Records[[No.]:[No.]],Charts!$A57,IPQC_Records[[Shift]:[Shift]],Charts!$B57,IPQC_Records[[CW]:[CW]],N$22)/N$50,0)</f>
        <v>0</v>
      </c>
      <c r="O57" s="185">
        <f ca="1">IFERROR(COUNTIFS(IPQC_Records[[No.]:[No.]],Charts!$A57,IPQC_Records[[Shift]:[Shift]],Charts!$B57,IPQC_Records[[CW]:[CW]],O$22)/O$50,0)</f>
        <v>0</v>
      </c>
      <c r="P57" s="185">
        <f ca="1">IFERROR(COUNTIFS(IPQC_Records[[No.]:[No.]],Charts!$A57,IPQC_Records[[Shift]:[Shift]],Charts!$B57,IPQC_Records[[CW]:[CW]],P$22)/P$50,0)</f>
        <v>0</v>
      </c>
      <c r="Q57" s="141">
        <f ca="1">IFERROR(COUNTIFS(IPQC_Records[[No.]:[No.]],Charts!$A57,IPQC_Records[[Shift]:[Shift]],Charts!$B57,IPQC_Records[[CW]:[CW]],Q$22)/Q$50,0)</f>
        <v>0</v>
      </c>
    </row>
    <row r="58" spans="1:17">
      <c r="A58" s="120" t="e">
        <v>#N/A</v>
      </c>
      <c r="B58" s="184" t="s">
        <v>480</v>
      </c>
      <c r="C58" s="185">
        <f>IFERROR(COUNTIFS(IPQC_Records[No.],Charts!A58,IPQC_Records[Shift],Charts!B58)/$C$56,0)</f>
        <v>0</v>
      </c>
      <c r="D58" s="186"/>
      <c r="E58" s="185">
        <f ca="1">IFERROR(COUNTIFS(IPQC_Records[[No.]:[No.]],Charts!$A58,IPQC_Records[[Shift]:[Shift]],Charts!$B58,IPQC_Records[[Month]:[Month]],E$22)/E$56,0)</f>
        <v>0</v>
      </c>
      <c r="F58" s="185">
        <f ca="1">IFERROR(COUNTIFS(IPQC_Records[[No.]:[No.]],Charts!$A58,IPQC_Records[[Shift]:[Shift]],Charts!$B58,IPQC_Records[[Month]:[Month]],F$22)/F$56,0)</f>
        <v>0</v>
      </c>
      <c r="G58" s="185">
        <f ca="1">IFERROR(COUNTIFS(IPQC_Records[[No.]:[No.]],Charts!$A58,IPQC_Records[[Shift]:[Shift]],Charts!$B58,IPQC_Records[[Month]:[Month]],G$22)/G$56,0)</f>
        <v>0</v>
      </c>
      <c r="H58" s="185">
        <f ca="1">IFERROR(COUNTIFS(IPQC_Records[[No.]:[No.]],Charts!$A58,IPQC_Records[[Shift]:[Shift]],Charts!$B58,IPQC_Records[[Month]:[Month]],H$22)/H$56,0)</f>
        <v>0</v>
      </c>
      <c r="I58" s="185">
        <f ca="1">IFERROR(COUNTIFS(IPQC_Records[[No.]:[No.]],Charts!$A58,IPQC_Records[[Shift]:[Shift]],Charts!$B58,IPQC_Records[[Month]:[Month]],I$22)/I$56,0)</f>
        <v>0</v>
      </c>
      <c r="J58" s="185">
        <f ca="1">IFERROR(COUNTIFS(IPQC_Records[[No.]:[No.]],Charts!$A58,IPQC_Records[[Shift]:[Shift]],Charts!$B58,IPQC_Records[[Month]:[Month]],J$22)/J$56,0)</f>
        <v>0</v>
      </c>
      <c r="K58" s="185">
        <f ca="1">IFERROR(COUNTIFS(IPQC_Records[[No.]:[No.]],Charts!$A58,IPQC_Records[[Shift]:[Shift]],Charts!$B58,IPQC_Records[[Month]:[Month]],K$22)/K$56,0)</f>
        <v>0</v>
      </c>
      <c r="L58" s="186"/>
      <c r="M58" s="185">
        <f ca="1">IFERROR(COUNTIFS(IPQC_Records[[No.]:[No.]],Charts!$A58,IPQC_Records[[Shift]:[Shift]],Charts!$B58,IPQC_Records[[CW]:[CW]],M$22)/M$50,0)</f>
        <v>0</v>
      </c>
      <c r="N58" s="185">
        <f ca="1">IFERROR(COUNTIFS(IPQC_Records[[No.]:[No.]],Charts!$A58,IPQC_Records[[Shift]:[Shift]],Charts!$B58,IPQC_Records[[CW]:[CW]],N$22)/N$50,0)</f>
        <v>0</v>
      </c>
      <c r="O58" s="185">
        <f ca="1">IFERROR(COUNTIFS(IPQC_Records[[No.]:[No.]],Charts!$A58,IPQC_Records[[Shift]:[Shift]],Charts!$B58,IPQC_Records[[CW]:[CW]],O$22)/O$50,0)</f>
        <v>0</v>
      </c>
      <c r="P58" s="185">
        <f ca="1">IFERROR(COUNTIFS(IPQC_Records[[No.]:[No.]],Charts!$A58,IPQC_Records[[Shift]:[Shift]],Charts!$B58,IPQC_Records[[CW]:[CW]],P$22)/P$50,0)</f>
        <v>0</v>
      </c>
      <c r="Q58" s="141">
        <f ca="1">IFERROR(COUNTIFS(IPQC_Records[[No.]:[No.]],Charts!$A58,IPQC_Records[[Shift]:[Shift]],Charts!$B58,IPQC_Records[[CW]:[CW]],Q$22)/Q$50,0)</f>
        <v>0</v>
      </c>
    </row>
    <row r="59" spans="1:17">
      <c r="A59" s="120" t="e">
        <v>#N/A</v>
      </c>
      <c r="B59" s="184" t="s">
        <v>480</v>
      </c>
      <c r="C59" s="185">
        <f>IFERROR(COUNTIFS(IPQC_Records[No.],Charts!A59,IPQC_Records[Shift],Charts!B59)/$C$56,0)</f>
        <v>0</v>
      </c>
      <c r="D59" s="186"/>
      <c r="E59" s="185">
        <f ca="1">IFERROR(COUNTIFS(IPQC_Records[[No.]:[No.]],Charts!$A59,IPQC_Records[[Shift]:[Shift]],Charts!$B59,IPQC_Records[[Month]:[Month]],E$22)/E$56,0)</f>
        <v>0</v>
      </c>
      <c r="F59" s="185">
        <f ca="1">IFERROR(COUNTIFS(IPQC_Records[[No.]:[No.]],Charts!$A59,IPQC_Records[[Shift]:[Shift]],Charts!$B59,IPQC_Records[[Month]:[Month]],F$22)/F$56,0)</f>
        <v>0</v>
      </c>
      <c r="G59" s="185">
        <f ca="1">IFERROR(COUNTIFS(IPQC_Records[[No.]:[No.]],Charts!$A59,IPQC_Records[[Shift]:[Shift]],Charts!$B59,IPQC_Records[[Month]:[Month]],G$22)/G$56,0)</f>
        <v>0</v>
      </c>
      <c r="H59" s="185">
        <f ca="1">IFERROR(COUNTIFS(IPQC_Records[[No.]:[No.]],Charts!$A59,IPQC_Records[[Shift]:[Shift]],Charts!$B59,IPQC_Records[[Month]:[Month]],H$22)/H$56,0)</f>
        <v>0</v>
      </c>
      <c r="I59" s="185">
        <f ca="1">IFERROR(COUNTIFS(IPQC_Records[[No.]:[No.]],Charts!$A59,IPQC_Records[[Shift]:[Shift]],Charts!$B59,IPQC_Records[[Month]:[Month]],I$22)/I$56,0)</f>
        <v>0</v>
      </c>
      <c r="J59" s="185">
        <f ca="1">IFERROR(COUNTIFS(IPQC_Records[[No.]:[No.]],Charts!$A59,IPQC_Records[[Shift]:[Shift]],Charts!$B59,IPQC_Records[[Month]:[Month]],J$22)/J$56,0)</f>
        <v>0</v>
      </c>
      <c r="K59" s="185">
        <f ca="1">IFERROR(COUNTIFS(IPQC_Records[[No.]:[No.]],Charts!$A59,IPQC_Records[[Shift]:[Shift]],Charts!$B59,IPQC_Records[[Month]:[Month]],K$22)/K$56,0)</f>
        <v>0</v>
      </c>
      <c r="L59" s="186"/>
      <c r="M59" s="185">
        <f ca="1">IFERROR(COUNTIFS(IPQC_Records[[No.]:[No.]],Charts!$A59,IPQC_Records[[Shift]:[Shift]],Charts!$B59,IPQC_Records[[CW]:[CW]],M$22)/M$50,0)</f>
        <v>0</v>
      </c>
      <c r="N59" s="185">
        <f ca="1">IFERROR(COUNTIFS(IPQC_Records[[No.]:[No.]],Charts!$A59,IPQC_Records[[Shift]:[Shift]],Charts!$B59,IPQC_Records[[CW]:[CW]],N$22)/N$50,0)</f>
        <v>0</v>
      </c>
      <c r="O59" s="185">
        <f ca="1">IFERROR(COUNTIFS(IPQC_Records[[No.]:[No.]],Charts!$A59,IPQC_Records[[Shift]:[Shift]],Charts!$B59,IPQC_Records[[CW]:[CW]],O$22)/O$50,0)</f>
        <v>0</v>
      </c>
      <c r="P59" s="185">
        <f ca="1">IFERROR(COUNTIFS(IPQC_Records[[No.]:[No.]],Charts!$A59,IPQC_Records[[Shift]:[Shift]],Charts!$B59,IPQC_Records[[CW]:[CW]],P$22)/P$50,0)</f>
        <v>0</v>
      </c>
      <c r="Q59" s="141">
        <f ca="1">IFERROR(COUNTIFS(IPQC_Records[[No.]:[No.]],Charts!$A59,IPQC_Records[[Shift]:[Shift]],Charts!$B59,IPQC_Records[[CW]:[CW]],Q$22)/Q$50,0)</f>
        <v>0</v>
      </c>
    </row>
    <row r="60" spans="1:17">
      <c r="A60" s="120" t="e">
        <v>#N/A</v>
      </c>
      <c r="B60" s="184" t="s">
        <v>480</v>
      </c>
      <c r="C60" s="185">
        <f>IFERROR(COUNTIFS(IPQC_Records[No.],Charts!A60,IPQC_Records[Shift],Charts!B60)/$C$56,0)</f>
        <v>0</v>
      </c>
      <c r="D60" s="186"/>
      <c r="E60" s="185">
        <f ca="1">IFERROR(COUNTIFS(IPQC_Records[[No.]:[No.]],Charts!$A60,IPQC_Records[[Shift]:[Shift]],Charts!$B60,IPQC_Records[[Month]:[Month]],E$22)/E$56,0)</f>
        <v>0</v>
      </c>
      <c r="F60" s="185">
        <f ca="1">IFERROR(COUNTIFS(IPQC_Records[[No.]:[No.]],Charts!$A60,IPQC_Records[[Shift]:[Shift]],Charts!$B60,IPQC_Records[[Month]:[Month]],F$22)/F$56,0)</f>
        <v>0</v>
      </c>
      <c r="G60" s="185">
        <f ca="1">IFERROR(COUNTIFS(IPQC_Records[[No.]:[No.]],Charts!$A60,IPQC_Records[[Shift]:[Shift]],Charts!$B60,IPQC_Records[[Month]:[Month]],G$22)/G$56,0)</f>
        <v>0</v>
      </c>
      <c r="H60" s="185">
        <f ca="1">IFERROR(COUNTIFS(IPQC_Records[[No.]:[No.]],Charts!$A60,IPQC_Records[[Shift]:[Shift]],Charts!$B60,IPQC_Records[[Month]:[Month]],H$22)/H$56,0)</f>
        <v>0</v>
      </c>
      <c r="I60" s="185">
        <f ca="1">IFERROR(COUNTIFS(IPQC_Records[[No.]:[No.]],Charts!$A60,IPQC_Records[[Shift]:[Shift]],Charts!$B60,IPQC_Records[[Month]:[Month]],I$22)/I$56,0)</f>
        <v>0</v>
      </c>
      <c r="J60" s="185">
        <f ca="1">IFERROR(COUNTIFS(IPQC_Records[[No.]:[No.]],Charts!$A60,IPQC_Records[[Shift]:[Shift]],Charts!$B60,IPQC_Records[[Month]:[Month]],J$22)/J$56,0)</f>
        <v>0</v>
      </c>
      <c r="K60" s="185">
        <f ca="1">IFERROR(COUNTIFS(IPQC_Records[[No.]:[No.]],Charts!$A60,IPQC_Records[[Shift]:[Shift]],Charts!$B60,IPQC_Records[[Month]:[Month]],K$22)/K$56,0)</f>
        <v>0</v>
      </c>
      <c r="L60" s="186"/>
      <c r="M60" s="185">
        <f ca="1">IFERROR(COUNTIFS(IPQC_Records[[No.]:[No.]],Charts!$A60,IPQC_Records[[Shift]:[Shift]],Charts!$B60,IPQC_Records[[CW]:[CW]],M$22)/M$50,0)</f>
        <v>0</v>
      </c>
      <c r="N60" s="185">
        <f ca="1">IFERROR(COUNTIFS(IPQC_Records[[No.]:[No.]],Charts!$A60,IPQC_Records[[Shift]:[Shift]],Charts!$B60,IPQC_Records[[CW]:[CW]],N$22)/N$50,0)</f>
        <v>0</v>
      </c>
      <c r="O60" s="185">
        <f ca="1">IFERROR(COUNTIFS(IPQC_Records[[No.]:[No.]],Charts!$A60,IPQC_Records[[Shift]:[Shift]],Charts!$B60,IPQC_Records[[CW]:[CW]],O$22)/O$50,0)</f>
        <v>0</v>
      </c>
      <c r="P60" s="185">
        <f ca="1">IFERROR(COUNTIFS(IPQC_Records[[No.]:[No.]],Charts!$A60,IPQC_Records[[Shift]:[Shift]],Charts!$B60,IPQC_Records[[CW]:[CW]],P$22)/P$50,0)</f>
        <v>0</v>
      </c>
      <c r="Q60" s="141">
        <f ca="1">IFERROR(COUNTIFS(IPQC_Records[[No.]:[No.]],Charts!$A60,IPQC_Records[[Shift]:[Shift]],Charts!$B60,IPQC_Records[[CW]:[CW]],Q$22)/Q$50,0)</f>
        <v>0</v>
      </c>
    </row>
    <row r="61" spans="1:17">
      <c r="A61" s="120" t="e">
        <v>#N/A</v>
      </c>
      <c r="B61" s="184" t="s">
        <v>480</v>
      </c>
      <c r="C61" s="185">
        <f>IFERROR(COUNTIFS(IPQC_Records[No.],Charts!A61,IPQC_Records[Shift],Charts!B61)/$C$56,0)</f>
        <v>0</v>
      </c>
      <c r="D61" s="186"/>
      <c r="E61" s="185">
        <f ca="1">IFERROR(COUNTIFS(IPQC_Records[[No.]:[No.]],Charts!$A61,IPQC_Records[[Shift]:[Shift]],Charts!$B61,IPQC_Records[[Month]:[Month]],E$22)/E$56,0)</f>
        <v>0</v>
      </c>
      <c r="F61" s="185">
        <f ca="1">IFERROR(COUNTIFS(IPQC_Records[[No.]:[No.]],Charts!$A61,IPQC_Records[[Shift]:[Shift]],Charts!$B61,IPQC_Records[[Month]:[Month]],F$22)/F$56,0)</f>
        <v>0</v>
      </c>
      <c r="G61" s="185">
        <f ca="1">IFERROR(COUNTIFS(IPQC_Records[[No.]:[No.]],Charts!$A61,IPQC_Records[[Shift]:[Shift]],Charts!$B61,IPQC_Records[[Month]:[Month]],G$22)/G$56,0)</f>
        <v>0</v>
      </c>
      <c r="H61" s="185">
        <f ca="1">IFERROR(COUNTIFS(IPQC_Records[[No.]:[No.]],Charts!$A61,IPQC_Records[[Shift]:[Shift]],Charts!$B61,IPQC_Records[[Month]:[Month]],H$22)/H$56,0)</f>
        <v>0</v>
      </c>
      <c r="I61" s="185">
        <f ca="1">IFERROR(COUNTIFS(IPQC_Records[[No.]:[No.]],Charts!$A61,IPQC_Records[[Shift]:[Shift]],Charts!$B61,IPQC_Records[[Month]:[Month]],I$22)/I$56,0)</f>
        <v>0</v>
      </c>
      <c r="J61" s="185">
        <f ca="1">IFERROR(COUNTIFS(IPQC_Records[[No.]:[No.]],Charts!$A61,IPQC_Records[[Shift]:[Shift]],Charts!$B61,IPQC_Records[[Month]:[Month]],J$22)/J$56,0)</f>
        <v>0</v>
      </c>
      <c r="K61" s="185">
        <f ca="1">IFERROR(COUNTIFS(IPQC_Records[[No.]:[No.]],Charts!$A61,IPQC_Records[[Shift]:[Shift]],Charts!$B61,IPQC_Records[[Month]:[Month]],K$22)/K$56,0)</f>
        <v>0</v>
      </c>
      <c r="L61" s="186"/>
      <c r="M61" s="185">
        <f ca="1">IFERROR(COUNTIFS(IPQC_Records[[No.]:[No.]],Charts!$A61,IPQC_Records[[Shift]:[Shift]],Charts!$B61,IPQC_Records[[CW]:[CW]],M$22)/M$50,0)</f>
        <v>0</v>
      </c>
      <c r="N61" s="185">
        <f ca="1">IFERROR(COUNTIFS(IPQC_Records[[No.]:[No.]],Charts!$A61,IPQC_Records[[Shift]:[Shift]],Charts!$B61,IPQC_Records[[CW]:[CW]],N$22)/N$50,0)</f>
        <v>0</v>
      </c>
      <c r="O61" s="185">
        <f ca="1">IFERROR(COUNTIFS(IPQC_Records[[No.]:[No.]],Charts!$A61,IPQC_Records[[Shift]:[Shift]],Charts!$B61,IPQC_Records[[CW]:[CW]],O$22)/O$50,0)</f>
        <v>0</v>
      </c>
      <c r="P61" s="185">
        <f ca="1">IFERROR(COUNTIFS(IPQC_Records[[No.]:[No.]],Charts!$A61,IPQC_Records[[Shift]:[Shift]],Charts!$B61,IPQC_Records[[CW]:[CW]],P$22)/P$50,0)</f>
        <v>0</v>
      </c>
      <c r="Q61" s="141">
        <f ca="1">IFERROR(COUNTIFS(IPQC_Records[[No.]:[No.]],Charts!$A61,IPQC_Records[[Shift]:[Shift]],Charts!$B61,IPQC_Records[[CW]:[CW]],Q$22)/Q$50,0)</f>
        <v>0</v>
      </c>
    </row>
    <row r="62" spans="1:17">
      <c r="A62" s="146" t="s">
        <v>596</v>
      </c>
      <c r="B62" s="188" t="s">
        <v>481</v>
      </c>
      <c r="C62" s="189">
        <f>COUNTIFS(IPQC_Records[Shift],Charts!B62)</f>
        <v>0</v>
      </c>
      <c r="D62" s="190"/>
      <c r="E62" s="190">
        <f ca="1">COUNTIFS(IPQC_Records[[Shift]:[Shift]],Charts!$B62,IPQC_Records[[Month]:[Month]],E$22)</f>
        <v>0</v>
      </c>
      <c r="F62" s="190">
        <f ca="1">COUNTIFS(IPQC_Records[[Shift]:[Shift]],Charts!$B62,IPQC_Records[[Month]:[Month]],F$22)</f>
        <v>0</v>
      </c>
      <c r="G62" s="190">
        <f ca="1">COUNTIFS(IPQC_Records[[Shift]:[Shift]],Charts!$B62,IPQC_Records[[Month]:[Month]],G$22)</f>
        <v>0</v>
      </c>
      <c r="H62" s="190">
        <f ca="1">COUNTIFS(IPQC_Records[[Shift]:[Shift]],Charts!$B62,IPQC_Records[[Month]:[Month]],H$22)</f>
        <v>0</v>
      </c>
      <c r="I62" s="190">
        <f ca="1">COUNTIFS(IPQC_Records[[Shift]:[Shift]],Charts!$B62,IPQC_Records[[Month]:[Month]],I$22)</f>
        <v>0</v>
      </c>
      <c r="J62" s="190">
        <f ca="1">COUNTIFS(IPQC_Records[[Shift]:[Shift]],Charts!$B62,IPQC_Records[[Month]:[Month]],J$22)</f>
        <v>0</v>
      </c>
      <c r="K62" s="190">
        <f ca="1">COUNTIFS(IPQC_Records[[Shift]:[Shift]],Charts!$B62,IPQC_Records[[Month]:[Month]],K$22)</f>
        <v>0</v>
      </c>
      <c r="L62" s="190"/>
      <c r="M62" s="190">
        <f ca="1">COUNTIFS(IPQC_Records[[Shift]:[Shift]],Charts!$B62,IPQC_Records[[CW]:[CW]],M$22)</f>
        <v>0</v>
      </c>
      <c r="N62" s="190">
        <f ca="1">COUNTIFS(IPQC_Records[[Shift]:[Shift]],Charts!$B62,IPQC_Records[[CW]:[CW]],N$22)</f>
        <v>0</v>
      </c>
      <c r="O62" s="190">
        <f ca="1">COUNTIFS(IPQC_Records[[Shift]:[Shift]],Charts!$B62,IPQC_Records[[CW]:[CW]],O$22)</f>
        <v>0</v>
      </c>
      <c r="P62" s="190">
        <f ca="1">COUNTIFS(IPQC_Records[[Shift]:[Shift]],Charts!$B62,IPQC_Records[[CW]:[CW]],P$22)</f>
        <v>0</v>
      </c>
      <c r="Q62" s="147">
        <f ca="1">COUNTIFS(IPQC_Records[[Shift]:[Shift]],Charts!$B62,IPQC_Records[[CW]:[CW]],Q$22)</f>
        <v>0</v>
      </c>
    </row>
    <row r="63" spans="1:17">
      <c r="A63" s="120" t="e" cm="1">
        <f t="array" ref="A63:A67">IF($A$22="month",$B$6:$B$10,IF($A$22="Year",$B$15:$B$19))</f>
        <v>#N/A</v>
      </c>
      <c r="B63" s="184" t="s">
        <v>481</v>
      </c>
      <c r="C63" s="181">
        <f>IFERROR(COUNTIFS(IPQC_Records[No.],Charts!A63,IPQC_Records[Shift],Charts!B63)/$C$62,0)</f>
        <v>0</v>
      </c>
      <c r="D63" s="191"/>
      <c r="E63" s="181">
        <f ca="1">IFERROR(COUNTIFS(IPQC_Records[[No.]:[No.]],Charts!$A63,IPQC_Records[[Shift]:[Shift]],Charts!$B63,IPQC_Records[[Month]:[Month]],E$22)/E$62,0)</f>
        <v>0</v>
      </c>
      <c r="F63" s="181">
        <f ca="1">IFERROR(COUNTIFS(IPQC_Records[[No.]:[No.]],Charts!$A63,IPQC_Records[[Shift]:[Shift]],Charts!$B63,IPQC_Records[[Month]:[Month]],F$22)/F$62,0)</f>
        <v>0</v>
      </c>
      <c r="G63" s="181">
        <f ca="1">IFERROR(COUNTIFS(IPQC_Records[[No.]:[No.]],Charts!$A63,IPQC_Records[[Shift]:[Shift]],Charts!$B63,IPQC_Records[[Month]:[Month]],G$22)/G$62,0)</f>
        <v>0</v>
      </c>
      <c r="H63" s="181">
        <f ca="1">IFERROR(COUNTIFS(IPQC_Records[[No.]:[No.]],Charts!$A63,IPQC_Records[[Shift]:[Shift]],Charts!$B63,IPQC_Records[[Month]:[Month]],H$22)/H$62,0)</f>
        <v>0</v>
      </c>
      <c r="I63" s="181">
        <f ca="1">IFERROR(COUNTIFS(IPQC_Records[[No.]:[No.]],Charts!$A63,IPQC_Records[[Shift]:[Shift]],Charts!$B63,IPQC_Records[[Month]:[Month]],I$22)/I$62,0)</f>
        <v>0</v>
      </c>
      <c r="J63" s="181">
        <f ca="1">IFERROR(COUNTIFS(IPQC_Records[[No.]:[No.]],Charts!$A63,IPQC_Records[[Shift]:[Shift]],Charts!$B63,IPQC_Records[[Month]:[Month]],J$22)/J$62,0)</f>
        <v>0</v>
      </c>
      <c r="K63" s="181">
        <f ca="1">IFERROR(COUNTIFS(IPQC_Records[[No.]:[No.]],Charts!$A63,IPQC_Records[[Shift]:[Shift]],Charts!$B63,IPQC_Records[[Month]:[Month]],K$22)/K$62,0)</f>
        <v>0</v>
      </c>
      <c r="L63" s="191"/>
      <c r="M63" s="181">
        <f ca="1">IFERROR(COUNTIFS(IPQC_Records[[No.]:[No.]],Charts!$A63,IPQC_Records[[Shift]:[Shift]],Charts!$B63,IPQC_Records[[CW]:[CW]],M$22)/M$62,0)</f>
        <v>0</v>
      </c>
      <c r="N63" s="181">
        <f ca="1">IFERROR(COUNTIFS(IPQC_Records[[No.]:[No.]],Charts!$A63,IPQC_Records[[Shift]:[Shift]],Charts!$B63,IPQC_Records[[CW]:[CW]],N$22)/N$62,0)</f>
        <v>0</v>
      </c>
      <c r="O63" s="181">
        <f ca="1">IFERROR(COUNTIFS(IPQC_Records[[No.]:[No.]],Charts!$A63,IPQC_Records[[Shift]:[Shift]],Charts!$B63,IPQC_Records[[CW]:[CW]],O$22)/O$62,0)</f>
        <v>0</v>
      </c>
      <c r="P63" s="181">
        <f ca="1">IFERROR(COUNTIFS(IPQC_Records[[No.]:[No.]],Charts!$A63,IPQC_Records[[Shift]:[Shift]],Charts!$B63,IPQC_Records[[CW]:[CW]],P$22)/P$62,0)</f>
        <v>0</v>
      </c>
      <c r="Q63" s="142">
        <f ca="1">IFERROR(COUNTIFS(IPQC_Records[[No.]:[No.]],Charts!$A63,IPQC_Records[[Shift]:[Shift]],Charts!$B63,IPQC_Records[[CW]:[CW]],Q$22)/Q$62,0)</f>
        <v>0</v>
      </c>
    </row>
    <row r="64" spans="1:17">
      <c r="A64" s="120" t="e">
        <v>#N/A</v>
      </c>
      <c r="B64" s="184" t="s">
        <v>481</v>
      </c>
      <c r="C64" s="181">
        <f>IFERROR(COUNTIFS(IPQC_Records[No.],Charts!A64,IPQC_Records[Shift],Charts!B64)/$C$62,0)</f>
        <v>0</v>
      </c>
      <c r="D64" s="191"/>
      <c r="E64" s="181">
        <f ca="1">IFERROR(COUNTIFS(IPQC_Records[[No.]:[No.]],Charts!$A64,IPQC_Records[[Shift]:[Shift]],Charts!$B64,IPQC_Records[[Month]:[Month]],E$22)/E$62,0)</f>
        <v>0</v>
      </c>
      <c r="F64" s="181">
        <f ca="1">IFERROR(COUNTIFS(IPQC_Records[[No.]:[No.]],Charts!$A64,IPQC_Records[[Shift]:[Shift]],Charts!$B64,IPQC_Records[[Month]:[Month]],F$22)/F$62,0)</f>
        <v>0</v>
      </c>
      <c r="G64" s="181">
        <f ca="1">IFERROR(COUNTIFS(IPQC_Records[[No.]:[No.]],Charts!$A64,IPQC_Records[[Shift]:[Shift]],Charts!$B64,IPQC_Records[[Month]:[Month]],G$22)/G$62,0)</f>
        <v>0</v>
      </c>
      <c r="H64" s="181">
        <f ca="1">IFERROR(COUNTIFS(IPQC_Records[[No.]:[No.]],Charts!$A64,IPQC_Records[[Shift]:[Shift]],Charts!$B64,IPQC_Records[[Month]:[Month]],H$22)/H$62,0)</f>
        <v>0</v>
      </c>
      <c r="I64" s="181">
        <f ca="1">IFERROR(COUNTIFS(IPQC_Records[[No.]:[No.]],Charts!$A64,IPQC_Records[[Shift]:[Shift]],Charts!$B64,IPQC_Records[[Month]:[Month]],I$22)/I$62,0)</f>
        <v>0</v>
      </c>
      <c r="J64" s="181">
        <f ca="1">IFERROR(COUNTIFS(IPQC_Records[[No.]:[No.]],Charts!$A64,IPQC_Records[[Shift]:[Shift]],Charts!$B64,IPQC_Records[[Month]:[Month]],J$22)/J$62,0)</f>
        <v>0</v>
      </c>
      <c r="K64" s="181">
        <f ca="1">IFERROR(COUNTIFS(IPQC_Records[[No.]:[No.]],Charts!$A64,IPQC_Records[[Shift]:[Shift]],Charts!$B64,IPQC_Records[[Month]:[Month]],K$22)/K$62,0)</f>
        <v>0</v>
      </c>
      <c r="L64" s="191"/>
      <c r="M64" s="181">
        <f ca="1">IFERROR(COUNTIFS(IPQC_Records[[No.]:[No.]],Charts!$A64,IPQC_Records[[Shift]:[Shift]],Charts!$B64,IPQC_Records[[CW]:[CW]],M$22)/M$62,0)</f>
        <v>0</v>
      </c>
      <c r="N64" s="181">
        <f ca="1">IFERROR(COUNTIFS(IPQC_Records[[No.]:[No.]],Charts!$A64,IPQC_Records[[Shift]:[Shift]],Charts!$B64,IPQC_Records[[CW]:[CW]],N$22)/N$62,0)</f>
        <v>0</v>
      </c>
      <c r="O64" s="181">
        <f ca="1">IFERROR(COUNTIFS(IPQC_Records[[No.]:[No.]],Charts!$A64,IPQC_Records[[Shift]:[Shift]],Charts!$B64,IPQC_Records[[CW]:[CW]],O$22)/O$62,0)</f>
        <v>0</v>
      </c>
      <c r="P64" s="181">
        <f ca="1">IFERROR(COUNTIFS(IPQC_Records[[No.]:[No.]],Charts!$A64,IPQC_Records[[Shift]:[Shift]],Charts!$B64,IPQC_Records[[CW]:[CW]],P$22)/P$62,0)</f>
        <v>0</v>
      </c>
      <c r="Q64" s="142">
        <f ca="1">IFERROR(COUNTIFS(IPQC_Records[[No.]:[No.]],Charts!$A64,IPQC_Records[[Shift]:[Shift]],Charts!$B64,IPQC_Records[[CW]:[CW]],Q$22)/Q$62,0)</f>
        <v>0</v>
      </c>
    </row>
    <row r="65" spans="1:17">
      <c r="A65" s="120" t="e">
        <v>#N/A</v>
      </c>
      <c r="B65" s="184" t="s">
        <v>481</v>
      </c>
      <c r="C65" s="181">
        <f>IFERROR(COUNTIFS(IPQC_Records[No.],Charts!A65,IPQC_Records[Shift],Charts!B65)/$C$62,0)</f>
        <v>0</v>
      </c>
      <c r="D65" s="191"/>
      <c r="E65" s="181">
        <f ca="1">IFERROR(COUNTIFS(IPQC_Records[[No.]:[No.]],Charts!$A65,IPQC_Records[[Shift]:[Shift]],Charts!$B65,IPQC_Records[[Month]:[Month]],E$22)/E$62,0)</f>
        <v>0</v>
      </c>
      <c r="F65" s="181">
        <f ca="1">IFERROR(COUNTIFS(IPQC_Records[[No.]:[No.]],Charts!$A65,IPQC_Records[[Shift]:[Shift]],Charts!$B65,IPQC_Records[[Month]:[Month]],F$22)/F$62,0)</f>
        <v>0</v>
      </c>
      <c r="G65" s="181">
        <f ca="1">IFERROR(COUNTIFS(IPQC_Records[[No.]:[No.]],Charts!$A65,IPQC_Records[[Shift]:[Shift]],Charts!$B65,IPQC_Records[[Month]:[Month]],G$22)/G$62,0)</f>
        <v>0</v>
      </c>
      <c r="H65" s="181">
        <f ca="1">IFERROR(COUNTIFS(IPQC_Records[[No.]:[No.]],Charts!$A65,IPQC_Records[[Shift]:[Shift]],Charts!$B65,IPQC_Records[[Month]:[Month]],H$22)/H$62,0)</f>
        <v>0</v>
      </c>
      <c r="I65" s="181">
        <f ca="1">IFERROR(COUNTIFS(IPQC_Records[[No.]:[No.]],Charts!$A65,IPQC_Records[[Shift]:[Shift]],Charts!$B65,IPQC_Records[[Month]:[Month]],I$22)/I$62,0)</f>
        <v>0</v>
      </c>
      <c r="J65" s="181">
        <f ca="1">IFERROR(COUNTIFS(IPQC_Records[[No.]:[No.]],Charts!$A65,IPQC_Records[[Shift]:[Shift]],Charts!$B65,IPQC_Records[[Month]:[Month]],J$22)/J$62,0)</f>
        <v>0</v>
      </c>
      <c r="K65" s="181">
        <f ca="1">IFERROR(COUNTIFS(IPQC_Records[[No.]:[No.]],Charts!$A65,IPQC_Records[[Shift]:[Shift]],Charts!$B65,IPQC_Records[[Month]:[Month]],K$22)/K$62,0)</f>
        <v>0</v>
      </c>
      <c r="L65" s="191"/>
      <c r="M65" s="181">
        <f ca="1">IFERROR(COUNTIFS(IPQC_Records[[No.]:[No.]],Charts!$A65,IPQC_Records[[Shift]:[Shift]],Charts!$B65,IPQC_Records[[CW]:[CW]],M$22)/M$62,0)</f>
        <v>0</v>
      </c>
      <c r="N65" s="181">
        <f ca="1">IFERROR(COUNTIFS(IPQC_Records[[No.]:[No.]],Charts!$A65,IPQC_Records[[Shift]:[Shift]],Charts!$B65,IPQC_Records[[CW]:[CW]],N$22)/N$62,0)</f>
        <v>0</v>
      </c>
      <c r="O65" s="181">
        <f ca="1">IFERROR(COUNTIFS(IPQC_Records[[No.]:[No.]],Charts!$A65,IPQC_Records[[Shift]:[Shift]],Charts!$B65,IPQC_Records[[CW]:[CW]],O$22)/O$62,0)</f>
        <v>0</v>
      </c>
      <c r="P65" s="181">
        <f ca="1">IFERROR(COUNTIFS(IPQC_Records[[No.]:[No.]],Charts!$A65,IPQC_Records[[Shift]:[Shift]],Charts!$B65,IPQC_Records[[CW]:[CW]],P$22)/P$62,0)</f>
        <v>0</v>
      </c>
      <c r="Q65" s="142">
        <f ca="1">IFERROR(COUNTIFS(IPQC_Records[[No.]:[No.]],Charts!$A65,IPQC_Records[[Shift]:[Shift]],Charts!$B65,IPQC_Records[[CW]:[CW]],Q$22)/Q$62,0)</f>
        <v>0</v>
      </c>
    </row>
    <row r="66" spans="1:17">
      <c r="A66" s="120" t="e">
        <v>#N/A</v>
      </c>
      <c r="B66" s="184" t="s">
        <v>481</v>
      </c>
      <c r="C66" s="181">
        <f>IFERROR(COUNTIFS(IPQC_Records[No.],Charts!A66,IPQC_Records[Shift],Charts!B66)/$C$62,0)</f>
        <v>0</v>
      </c>
      <c r="D66" s="191"/>
      <c r="E66" s="181">
        <f ca="1">IFERROR(COUNTIFS(IPQC_Records[[No.]:[No.]],Charts!$A66,IPQC_Records[[Shift]:[Shift]],Charts!$B66,IPQC_Records[[Month]:[Month]],E$22)/E$62,0)</f>
        <v>0</v>
      </c>
      <c r="F66" s="181">
        <f ca="1">IFERROR(COUNTIFS(IPQC_Records[[No.]:[No.]],Charts!$A66,IPQC_Records[[Shift]:[Shift]],Charts!$B66,IPQC_Records[[Month]:[Month]],F$22)/F$62,0)</f>
        <v>0</v>
      </c>
      <c r="G66" s="181">
        <f ca="1">IFERROR(COUNTIFS(IPQC_Records[[No.]:[No.]],Charts!$A66,IPQC_Records[[Shift]:[Shift]],Charts!$B66,IPQC_Records[[Month]:[Month]],G$22)/G$62,0)</f>
        <v>0</v>
      </c>
      <c r="H66" s="181">
        <f ca="1">IFERROR(COUNTIFS(IPQC_Records[[No.]:[No.]],Charts!$A66,IPQC_Records[[Shift]:[Shift]],Charts!$B66,IPQC_Records[[Month]:[Month]],H$22)/H$62,0)</f>
        <v>0</v>
      </c>
      <c r="I66" s="181">
        <f ca="1">IFERROR(COUNTIFS(IPQC_Records[[No.]:[No.]],Charts!$A66,IPQC_Records[[Shift]:[Shift]],Charts!$B66,IPQC_Records[[Month]:[Month]],I$22)/I$62,0)</f>
        <v>0</v>
      </c>
      <c r="J66" s="181">
        <f ca="1">IFERROR(COUNTIFS(IPQC_Records[[No.]:[No.]],Charts!$A66,IPQC_Records[[Shift]:[Shift]],Charts!$B66,IPQC_Records[[Month]:[Month]],J$22)/J$62,0)</f>
        <v>0</v>
      </c>
      <c r="K66" s="181">
        <f ca="1">IFERROR(COUNTIFS(IPQC_Records[[No.]:[No.]],Charts!$A66,IPQC_Records[[Shift]:[Shift]],Charts!$B66,IPQC_Records[[Month]:[Month]],K$22)/K$62,0)</f>
        <v>0</v>
      </c>
      <c r="L66" s="191"/>
      <c r="M66" s="181">
        <f ca="1">IFERROR(COUNTIFS(IPQC_Records[[No.]:[No.]],Charts!$A66,IPQC_Records[[Shift]:[Shift]],Charts!$B66,IPQC_Records[[CW]:[CW]],M$22)/M$62,0)</f>
        <v>0</v>
      </c>
      <c r="N66" s="181">
        <f ca="1">IFERROR(COUNTIFS(IPQC_Records[[No.]:[No.]],Charts!$A66,IPQC_Records[[Shift]:[Shift]],Charts!$B66,IPQC_Records[[CW]:[CW]],N$22)/N$62,0)</f>
        <v>0</v>
      </c>
      <c r="O66" s="181">
        <f ca="1">IFERROR(COUNTIFS(IPQC_Records[[No.]:[No.]],Charts!$A66,IPQC_Records[[Shift]:[Shift]],Charts!$B66,IPQC_Records[[CW]:[CW]],O$22)/O$62,0)</f>
        <v>0</v>
      </c>
      <c r="P66" s="181">
        <f ca="1">IFERROR(COUNTIFS(IPQC_Records[[No.]:[No.]],Charts!$A66,IPQC_Records[[Shift]:[Shift]],Charts!$B66,IPQC_Records[[CW]:[CW]],P$22)/P$62,0)</f>
        <v>0</v>
      </c>
      <c r="Q66" s="142">
        <f ca="1">IFERROR(COUNTIFS(IPQC_Records[[No.]:[No.]],Charts!$A66,IPQC_Records[[Shift]:[Shift]],Charts!$B66,IPQC_Records[[CW]:[CW]],Q$22)/Q$62,0)</f>
        <v>0</v>
      </c>
    </row>
    <row r="67" spans="1:17">
      <c r="A67" s="120" t="e">
        <v>#N/A</v>
      </c>
      <c r="B67" s="184" t="s">
        <v>481</v>
      </c>
      <c r="C67" s="181">
        <f>IFERROR(COUNTIFS(IPQC_Records[No.],Charts!A67,IPQC_Records[Shift],Charts!B67)/$C$62,0)</f>
        <v>0</v>
      </c>
      <c r="D67" s="191"/>
      <c r="E67" s="181">
        <f ca="1">IFERROR(COUNTIFS(IPQC_Records[[No.]:[No.]],Charts!$A67,IPQC_Records[[Shift]:[Shift]],Charts!$B67,IPQC_Records[[Month]:[Month]],E$22)/E$62,0)</f>
        <v>0</v>
      </c>
      <c r="F67" s="181">
        <f ca="1">IFERROR(COUNTIFS(IPQC_Records[[No.]:[No.]],Charts!$A67,IPQC_Records[[Shift]:[Shift]],Charts!$B67,IPQC_Records[[Month]:[Month]],F$22)/F$62,0)</f>
        <v>0</v>
      </c>
      <c r="G67" s="181">
        <f ca="1">IFERROR(COUNTIFS(IPQC_Records[[No.]:[No.]],Charts!$A67,IPQC_Records[[Shift]:[Shift]],Charts!$B67,IPQC_Records[[Month]:[Month]],G$22)/G$62,0)</f>
        <v>0</v>
      </c>
      <c r="H67" s="181">
        <f ca="1">IFERROR(COUNTIFS(IPQC_Records[[No.]:[No.]],Charts!$A67,IPQC_Records[[Shift]:[Shift]],Charts!$B67,IPQC_Records[[Month]:[Month]],H$22)/H$62,0)</f>
        <v>0</v>
      </c>
      <c r="I67" s="181">
        <f ca="1">IFERROR(COUNTIFS(IPQC_Records[[No.]:[No.]],Charts!$A67,IPQC_Records[[Shift]:[Shift]],Charts!$B67,IPQC_Records[[Month]:[Month]],I$22)/I$62,0)</f>
        <v>0</v>
      </c>
      <c r="J67" s="181">
        <f ca="1">IFERROR(COUNTIFS(IPQC_Records[[No.]:[No.]],Charts!$A67,IPQC_Records[[Shift]:[Shift]],Charts!$B67,IPQC_Records[[Month]:[Month]],J$22)/J$62,0)</f>
        <v>0</v>
      </c>
      <c r="K67" s="181">
        <f ca="1">IFERROR(COUNTIFS(IPQC_Records[[No.]:[No.]],Charts!$A67,IPQC_Records[[Shift]:[Shift]],Charts!$B67,IPQC_Records[[Month]:[Month]],K$22)/K$62,0)</f>
        <v>0</v>
      </c>
      <c r="L67" s="191"/>
      <c r="M67" s="181">
        <f ca="1">IFERROR(COUNTIFS(IPQC_Records[[No.]:[No.]],Charts!$A67,IPQC_Records[[Shift]:[Shift]],Charts!$B67,IPQC_Records[[CW]:[CW]],M$22)/M$62,0)</f>
        <v>0</v>
      </c>
      <c r="N67" s="181">
        <f ca="1">IFERROR(COUNTIFS(IPQC_Records[[No.]:[No.]],Charts!$A67,IPQC_Records[[Shift]:[Shift]],Charts!$B67,IPQC_Records[[CW]:[CW]],N$22)/N$62,0)</f>
        <v>0</v>
      </c>
      <c r="O67" s="181">
        <f ca="1">IFERROR(COUNTIFS(IPQC_Records[[No.]:[No.]],Charts!$A67,IPQC_Records[[Shift]:[Shift]],Charts!$B67,IPQC_Records[[CW]:[CW]],O$22)/O$62,0)</f>
        <v>0</v>
      </c>
      <c r="P67" s="181">
        <f ca="1">IFERROR(COUNTIFS(IPQC_Records[[No.]:[No.]],Charts!$A67,IPQC_Records[[Shift]:[Shift]],Charts!$B67,IPQC_Records[[CW]:[CW]],P$22)/P$62,0)</f>
        <v>0</v>
      </c>
      <c r="Q67" s="142">
        <f ca="1">IFERROR(COUNTIFS(IPQC_Records[[No.]:[No.]],Charts!$A67,IPQC_Records[[Shift]:[Shift]],Charts!$B67,IPQC_Records[[CW]:[CW]],Q$22)/Q$62,0)</f>
        <v>0</v>
      </c>
    </row>
    <row r="68" spans="1:17">
      <c r="A68" s="146" t="s">
        <v>596</v>
      </c>
      <c r="B68" s="188" t="s">
        <v>482</v>
      </c>
      <c r="C68" s="189">
        <f>COUNTIFS(IPQC_Records[Shift],Charts!B68)</f>
        <v>0</v>
      </c>
      <c r="D68" s="190"/>
      <c r="E68" s="190">
        <f ca="1">COUNTIFS(IPQC_Records[[Shift]:[Shift]],Charts!$B68,IPQC_Records[[Month]:[Month]],E$22)</f>
        <v>0</v>
      </c>
      <c r="F68" s="190">
        <f ca="1">COUNTIFS(IPQC_Records[[Shift]:[Shift]],Charts!$B68,IPQC_Records[[Month]:[Month]],F$22)</f>
        <v>0</v>
      </c>
      <c r="G68" s="190">
        <f ca="1">COUNTIFS(IPQC_Records[[Shift]:[Shift]],Charts!$B68,IPQC_Records[[Month]:[Month]],G$22)</f>
        <v>0</v>
      </c>
      <c r="H68" s="190">
        <f ca="1">COUNTIFS(IPQC_Records[[Shift]:[Shift]],Charts!$B68,IPQC_Records[[Month]:[Month]],H$22)</f>
        <v>0</v>
      </c>
      <c r="I68" s="190">
        <f ca="1">COUNTIFS(IPQC_Records[[Shift]:[Shift]],Charts!$B68,IPQC_Records[[Month]:[Month]],I$22)</f>
        <v>0</v>
      </c>
      <c r="J68" s="190">
        <f ca="1">COUNTIFS(IPQC_Records[[Shift]:[Shift]],Charts!$B68,IPQC_Records[[Month]:[Month]],J$22)</f>
        <v>0</v>
      </c>
      <c r="K68" s="190">
        <f ca="1">COUNTIFS(IPQC_Records[[Shift]:[Shift]],Charts!$B68,IPQC_Records[[Month]:[Month]],K$22)</f>
        <v>0</v>
      </c>
      <c r="L68" s="190"/>
      <c r="M68" s="190">
        <f ca="1">COUNTIFS(IPQC_Records[[Shift]:[Shift]],Charts!$B68,IPQC_Records[[CW]:[CW]],M$22)</f>
        <v>0</v>
      </c>
      <c r="N68" s="190">
        <f ca="1">COUNTIFS(IPQC_Records[[Shift]:[Shift]],Charts!$B68,IPQC_Records[[CW]:[CW]],N$22)</f>
        <v>0</v>
      </c>
      <c r="O68" s="190">
        <f ca="1">COUNTIFS(IPQC_Records[[Shift]:[Shift]],Charts!$B68,IPQC_Records[[CW]:[CW]],O$22)</f>
        <v>0</v>
      </c>
      <c r="P68" s="190">
        <f ca="1">COUNTIFS(IPQC_Records[[Shift]:[Shift]],Charts!$B68,IPQC_Records[[CW]:[CW]],P$22)</f>
        <v>0</v>
      </c>
      <c r="Q68" s="147">
        <f ca="1">COUNTIFS(IPQC_Records[[Shift]:[Shift]],Charts!$B68,IPQC_Records[[CW]:[CW]],Q$22)</f>
        <v>0</v>
      </c>
    </row>
    <row r="69" spans="1:17">
      <c r="A69" s="120" t="e" cm="1">
        <f t="array" ref="A69:A73">IF($A$22="month",$B$6:$B$10,IF($A$22="Year",$B$15:$B$19))</f>
        <v>#N/A</v>
      </c>
      <c r="B69" s="184" t="s">
        <v>482</v>
      </c>
      <c r="C69" s="181">
        <f>IFERROR(COUNTIFS(IPQC_Records[No.],Charts!A69,IPQC_Records[Shift],Charts!B69)/$C$68,0)</f>
        <v>0</v>
      </c>
      <c r="D69" s="191"/>
      <c r="E69" s="181">
        <f ca="1">IFERROR(COUNTIFS(IPQC_Records[[No.]:[No.]],Charts!$A69,IPQC_Records[[Shift]:[Shift]],Charts!$B69,IPQC_Records[[Month]:[Month]],E$22)/E$68,0)</f>
        <v>0</v>
      </c>
      <c r="F69" s="181">
        <f ca="1">IFERROR(COUNTIFS(IPQC_Records[[No.]:[No.]],Charts!$A69,IPQC_Records[[Shift]:[Shift]],Charts!$B69,IPQC_Records[[Month]:[Month]],F$22)/F$68,0)</f>
        <v>0</v>
      </c>
      <c r="G69" s="181">
        <f ca="1">IFERROR(COUNTIFS(IPQC_Records[[No.]:[No.]],Charts!$A69,IPQC_Records[[Shift]:[Shift]],Charts!$B69,IPQC_Records[[Month]:[Month]],G$22)/G$68,0)</f>
        <v>0</v>
      </c>
      <c r="H69" s="181">
        <f ca="1">IFERROR(COUNTIFS(IPQC_Records[[No.]:[No.]],Charts!$A69,IPQC_Records[[Shift]:[Shift]],Charts!$B69,IPQC_Records[[Month]:[Month]],H$22)/H$68,0)</f>
        <v>0</v>
      </c>
      <c r="I69" s="181">
        <f ca="1">IFERROR(COUNTIFS(IPQC_Records[[No.]:[No.]],Charts!$A69,IPQC_Records[[Shift]:[Shift]],Charts!$B69,IPQC_Records[[Month]:[Month]],I$22)/I$68,0)</f>
        <v>0</v>
      </c>
      <c r="J69" s="181">
        <f ca="1">IFERROR(COUNTIFS(IPQC_Records[[No.]:[No.]],Charts!$A69,IPQC_Records[[Shift]:[Shift]],Charts!$B69,IPQC_Records[[Month]:[Month]],J$22)/J$68,0)</f>
        <v>0</v>
      </c>
      <c r="K69" s="181">
        <f ca="1">IFERROR(COUNTIFS(IPQC_Records[[No.]:[No.]],Charts!$A69,IPQC_Records[[Shift]:[Shift]],Charts!$B69,IPQC_Records[[Month]:[Month]],K$22)/K$68,0)</f>
        <v>0</v>
      </c>
      <c r="L69" s="191"/>
      <c r="M69" s="181">
        <f ca="1">IFERROR(COUNTIFS(IPQC_Records[[No.]:[No.]],Charts!$A69,IPQC_Records[[Shift]:[Shift]],Charts!$B69,IPQC_Records[[CW]:[CW]],M$22)/M$68,0)</f>
        <v>0</v>
      </c>
      <c r="N69" s="181">
        <f ca="1">IFERROR(COUNTIFS(IPQC_Records[[No.]:[No.]],Charts!$A69,IPQC_Records[[Shift]:[Shift]],Charts!$B69,IPQC_Records[[CW]:[CW]],N$22)/N$68,0)</f>
        <v>0</v>
      </c>
      <c r="O69" s="181">
        <f ca="1">IFERROR(COUNTIFS(IPQC_Records[[No.]:[No.]],Charts!$A69,IPQC_Records[[Shift]:[Shift]],Charts!$B69,IPQC_Records[[CW]:[CW]],O$22)/O$68,0)</f>
        <v>0</v>
      </c>
      <c r="P69" s="181">
        <f ca="1">IFERROR(COUNTIFS(IPQC_Records[[No.]:[No.]],Charts!$A69,IPQC_Records[[Shift]:[Shift]],Charts!$B69,IPQC_Records[[CW]:[CW]],P$22)/P$68,0)</f>
        <v>0</v>
      </c>
      <c r="Q69" s="142">
        <f ca="1">IFERROR(COUNTIFS(IPQC_Records[[No.]:[No.]],Charts!$A69,IPQC_Records[[Shift]:[Shift]],Charts!$B69,IPQC_Records[[CW]:[CW]],Q$22)/Q$68,0)</f>
        <v>0</v>
      </c>
    </row>
    <row r="70" spans="1:17">
      <c r="A70" s="120" t="e">
        <v>#N/A</v>
      </c>
      <c r="B70" s="184" t="s">
        <v>482</v>
      </c>
      <c r="C70" s="181">
        <f>IFERROR(COUNTIFS(IPQC_Records[No.],Charts!A70,IPQC_Records[Shift],Charts!B70)/$C$68,0)</f>
        <v>0</v>
      </c>
      <c r="D70" s="191"/>
      <c r="E70" s="181">
        <f ca="1">IFERROR(COUNTIFS(IPQC_Records[[No.]:[No.]],Charts!$A70,IPQC_Records[[Shift]:[Shift]],Charts!$B70,IPQC_Records[[Month]:[Month]],E$22)/E$68,0)</f>
        <v>0</v>
      </c>
      <c r="F70" s="181">
        <f ca="1">IFERROR(COUNTIFS(IPQC_Records[[No.]:[No.]],Charts!$A70,IPQC_Records[[Shift]:[Shift]],Charts!$B70,IPQC_Records[[Month]:[Month]],F$22)/F$68,0)</f>
        <v>0</v>
      </c>
      <c r="G70" s="181">
        <f ca="1">IFERROR(COUNTIFS(IPQC_Records[[No.]:[No.]],Charts!$A70,IPQC_Records[[Shift]:[Shift]],Charts!$B70,IPQC_Records[[Month]:[Month]],G$22)/G$68,0)</f>
        <v>0</v>
      </c>
      <c r="H70" s="181">
        <f ca="1">IFERROR(COUNTIFS(IPQC_Records[[No.]:[No.]],Charts!$A70,IPQC_Records[[Shift]:[Shift]],Charts!$B70,IPQC_Records[[Month]:[Month]],H$22)/H$68,0)</f>
        <v>0</v>
      </c>
      <c r="I70" s="181">
        <f ca="1">IFERROR(COUNTIFS(IPQC_Records[[No.]:[No.]],Charts!$A70,IPQC_Records[[Shift]:[Shift]],Charts!$B70,IPQC_Records[[Month]:[Month]],I$22)/I$68,0)</f>
        <v>0</v>
      </c>
      <c r="J70" s="181">
        <f ca="1">IFERROR(COUNTIFS(IPQC_Records[[No.]:[No.]],Charts!$A70,IPQC_Records[[Shift]:[Shift]],Charts!$B70,IPQC_Records[[Month]:[Month]],J$22)/J$68,0)</f>
        <v>0</v>
      </c>
      <c r="K70" s="181">
        <f ca="1">IFERROR(COUNTIFS(IPQC_Records[[No.]:[No.]],Charts!$A70,IPQC_Records[[Shift]:[Shift]],Charts!$B70,IPQC_Records[[Month]:[Month]],K$22)/K$68,0)</f>
        <v>0</v>
      </c>
      <c r="L70" s="191"/>
      <c r="M70" s="181">
        <f ca="1">IFERROR(COUNTIFS(IPQC_Records[[No.]:[No.]],Charts!$A70,IPQC_Records[[Shift]:[Shift]],Charts!$B70,IPQC_Records[[CW]:[CW]],M$22)/M$68,0)</f>
        <v>0</v>
      </c>
      <c r="N70" s="181">
        <f ca="1">IFERROR(COUNTIFS(IPQC_Records[[No.]:[No.]],Charts!$A70,IPQC_Records[[Shift]:[Shift]],Charts!$B70,IPQC_Records[[CW]:[CW]],N$22)/N$68,0)</f>
        <v>0</v>
      </c>
      <c r="O70" s="181">
        <f ca="1">IFERROR(COUNTIFS(IPQC_Records[[No.]:[No.]],Charts!$A70,IPQC_Records[[Shift]:[Shift]],Charts!$B70,IPQC_Records[[CW]:[CW]],O$22)/O$68,0)</f>
        <v>0</v>
      </c>
      <c r="P70" s="181">
        <f ca="1">IFERROR(COUNTIFS(IPQC_Records[[No.]:[No.]],Charts!$A70,IPQC_Records[[Shift]:[Shift]],Charts!$B70,IPQC_Records[[CW]:[CW]],P$22)/P$68,0)</f>
        <v>0</v>
      </c>
      <c r="Q70" s="142">
        <f ca="1">IFERROR(COUNTIFS(IPQC_Records[[No.]:[No.]],Charts!$A70,IPQC_Records[[Shift]:[Shift]],Charts!$B70,IPQC_Records[[CW]:[CW]],Q$22)/Q$68,0)</f>
        <v>0</v>
      </c>
    </row>
    <row r="71" spans="1:17">
      <c r="A71" s="120" t="e">
        <v>#N/A</v>
      </c>
      <c r="B71" s="184" t="s">
        <v>482</v>
      </c>
      <c r="C71" s="181">
        <f>IFERROR(COUNTIFS(IPQC_Records[No.],Charts!A71,IPQC_Records[Shift],Charts!B71)/$C$68,0)</f>
        <v>0</v>
      </c>
      <c r="D71" s="191"/>
      <c r="E71" s="181">
        <f ca="1">IFERROR(COUNTIFS(IPQC_Records[[No.]:[No.]],Charts!$A71,IPQC_Records[[Shift]:[Shift]],Charts!$B71,IPQC_Records[[Month]:[Month]],E$22)/E$68,0)</f>
        <v>0</v>
      </c>
      <c r="F71" s="181">
        <f ca="1">IFERROR(COUNTIFS(IPQC_Records[[No.]:[No.]],Charts!$A71,IPQC_Records[[Shift]:[Shift]],Charts!$B71,IPQC_Records[[Month]:[Month]],F$22)/F$68,0)</f>
        <v>0</v>
      </c>
      <c r="G71" s="181">
        <f ca="1">IFERROR(COUNTIFS(IPQC_Records[[No.]:[No.]],Charts!$A71,IPQC_Records[[Shift]:[Shift]],Charts!$B71,IPQC_Records[[Month]:[Month]],G$22)/G$68,0)</f>
        <v>0</v>
      </c>
      <c r="H71" s="181">
        <f ca="1">IFERROR(COUNTIFS(IPQC_Records[[No.]:[No.]],Charts!$A71,IPQC_Records[[Shift]:[Shift]],Charts!$B71,IPQC_Records[[Month]:[Month]],H$22)/H$68,0)</f>
        <v>0</v>
      </c>
      <c r="I71" s="181">
        <f ca="1">IFERROR(COUNTIFS(IPQC_Records[[No.]:[No.]],Charts!$A71,IPQC_Records[[Shift]:[Shift]],Charts!$B71,IPQC_Records[[Month]:[Month]],I$22)/I$68,0)</f>
        <v>0</v>
      </c>
      <c r="J71" s="181">
        <f ca="1">IFERROR(COUNTIFS(IPQC_Records[[No.]:[No.]],Charts!$A71,IPQC_Records[[Shift]:[Shift]],Charts!$B71,IPQC_Records[[Month]:[Month]],J$22)/J$68,0)</f>
        <v>0</v>
      </c>
      <c r="K71" s="181">
        <f ca="1">IFERROR(COUNTIFS(IPQC_Records[[No.]:[No.]],Charts!$A71,IPQC_Records[[Shift]:[Shift]],Charts!$B71,IPQC_Records[[Month]:[Month]],K$22)/K$68,0)</f>
        <v>0</v>
      </c>
      <c r="L71" s="191"/>
      <c r="M71" s="181">
        <f ca="1">IFERROR(COUNTIFS(IPQC_Records[[No.]:[No.]],Charts!$A71,IPQC_Records[[Shift]:[Shift]],Charts!$B71,IPQC_Records[[CW]:[CW]],M$22)/M$68,0)</f>
        <v>0</v>
      </c>
      <c r="N71" s="181">
        <f ca="1">IFERROR(COUNTIFS(IPQC_Records[[No.]:[No.]],Charts!$A71,IPQC_Records[[Shift]:[Shift]],Charts!$B71,IPQC_Records[[CW]:[CW]],N$22)/N$68,0)</f>
        <v>0</v>
      </c>
      <c r="O71" s="181">
        <f ca="1">IFERROR(COUNTIFS(IPQC_Records[[No.]:[No.]],Charts!$A71,IPQC_Records[[Shift]:[Shift]],Charts!$B71,IPQC_Records[[CW]:[CW]],O$22)/O$68,0)</f>
        <v>0</v>
      </c>
      <c r="P71" s="181">
        <f ca="1">IFERROR(COUNTIFS(IPQC_Records[[No.]:[No.]],Charts!$A71,IPQC_Records[[Shift]:[Shift]],Charts!$B71,IPQC_Records[[CW]:[CW]],P$22)/P$68,0)</f>
        <v>0</v>
      </c>
      <c r="Q71" s="142">
        <f ca="1">IFERROR(COUNTIFS(IPQC_Records[[No.]:[No.]],Charts!$A71,IPQC_Records[[Shift]:[Shift]],Charts!$B71,IPQC_Records[[CW]:[CW]],Q$22)/Q$68,0)</f>
        <v>0</v>
      </c>
    </row>
    <row r="72" spans="1:17">
      <c r="A72" s="120" t="e">
        <v>#N/A</v>
      </c>
      <c r="B72" s="184" t="s">
        <v>482</v>
      </c>
      <c r="C72" s="181">
        <f>IFERROR(COUNTIFS(IPQC_Records[No.],Charts!A72,IPQC_Records[Shift],Charts!B72)/$C$68,0)</f>
        <v>0</v>
      </c>
      <c r="D72" s="191"/>
      <c r="E72" s="181">
        <f ca="1">IFERROR(COUNTIFS(IPQC_Records[[No.]:[No.]],Charts!$A72,IPQC_Records[[Shift]:[Shift]],Charts!$B72,IPQC_Records[[Month]:[Month]],E$22)/E$68,0)</f>
        <v>0</v>
      </c>
      <c r="F72" s="181">
        <f ca="1">IFERROR(COUNTIFS(IPQC_Records[[No.]:[No.]],Charts!$A72,IPQC_Records[[Shift]:[Shift]],Charts!$B72,IPQC_Records[[Month]:[Month]],F$22)/F$68,0)</f>
        <v>0</v>
      </c>
      <c r="G72" s="181">
        <f ca="1">IFERROR(COUNTIFS(IPQC_Records[[No.]:[No.]],Charts!$A72,IPQC_Records[[Shift]:[Shift]],Charts!$B72,IPQC_Records[[Month]:[Month]],G$22)/G$68,0)</f>
        <v>0</v>
      </c>
      <c r="H72" s="181">
        <f ca="1">IFERROR(COUNTIFS(IPQC_Records[[No.]:[No.]],Charts!$A72,IPQC_Records[[Shift]:[Shift]],Charts!$B72,IPQC_Records[[Month]:[Month]],H$22)/H$68,0)</f>
        <v>0</v>
      </c>
      <c r="I72" s="181">
        <f ca="1">IFERROR(COUNTIFS(IPQC_Records[[No.]:[No.]],Charts!$A72,IPQC_Records[[Shift]:[Shift]],Charts!$B72,IPQC_Records[[Month]:[Month]],I$22)/I$68,0)</f>
        <v>0</v>
      </c>
      <c r="J72" s="181">
        <f ca="1">IFERROR(COUNTIFS(IPQC_Records[[No.]:[No.]],Charts!$A72,IPQC_Records[[Shift]:[Shift]],Charts!$B72,IPQC_Records[[Month]:[Month]],J$22)/J$68,0)</f>
        <v>0</v>
      </c>
      <c r="K72" s="181">
        <f ca="1">IFERROR(COUNTIFS(IPQC_Records[[No.]:[No.]],Charts!$A72,IPQC_Records[[Shift]:[Shift]],Charts!$B72,IPQC_Records[[Month]:[Month]],K$22)/K$68,0)</f>
        <v>0</v>
      </c>
      <c r="L72" s="191"/>
      <c r="M72" s="181">
        <f ca="1">IFERROR(COUNTIFS(IPQC_Records[[No.]:[No.]],Charts!$A72,IPQC_Records[[Shift]:[Shift]],Charts!$B72,IPQC_Records[[CW]:[CW]],M$22)/M$68,0)</f>
        <v>0</v>
      </c>
      <c r="N72" s="181">
        <f ca="1">IFERROR(COUNTIFS(IPQC_Records[[No.]:[No.]],Charts!$A72,IPQC_Records[[Shift]:[Shift]],Charts!$B72,IPQC_Records[[CW]:[CW]],N$22)/N$68,0)</f>
        <v>0</v>
      </c>
      <c r="O72" s="181">
        <f ca="1">IFERROR(COUNTIFS(IPQC_Records[[No.]:[No.]],Charts!$A72,IPQC_Records[[Shift]:[Shift]],Charts!$B72,IPQC_Records[[CW]:[CW]],O$22)/O$68,0)</f>
        <v>0</v>
      </c>
      <c r="P72" s="181">
        <f ca="1">IFERROR(COUNTIFS(IPQC_Records[[No.]:[No.]],Charts!$A72,IPQC_Records[[Shift]:[Shift]],Charts!$B72,IPQC_Records[[CW]:[CW]],P$22)/P$68,0)</f>
        <v>0</v>
      </c>
      <c r="Q72" s="142">
        <f ca="1">IFERROR(COUNTIFS(IPQC_Records[[No.]:[No.]],Charts!$A72,IPQC_Records[[Shift]:[Shift]],Charts!$B72,IPQC_Records[[CW]:[CW]],Q$22)/Q$68,0)</f>
        <v>0</v>
      </c>
    </row>
    <row r="73" spans="1:17" ht="15" thickBot="1">
      <c r="A73" s="121" t="e">
        <v>#N/A</v>
      </c>
      <c r="B73" s="140" t="s">
        <v>482</v>
      </c>
      <c r="C73" s="144">
        <f>IFERROR(COUNTIFS(IPQC_Records[No.],Charts!A73,IPQC_Records[Shift],Charts!B73)/$C$68,0)</f>
        <v>0</v>
      </c>
      <c r="D73" s="143"/>
      <c r="E73" s="144">
        <f ca="1">IFERROR(COUNTIFS(IPQC_Records[[No.]:[No.]],Charts!$A73,IPQC_Records[[Shift]:[Shift]],Charts!$B73,IPQC_Records[[Month]:[Month]],E$22)/E$68,0)</f>
        <v>0</v>
      </c>
      <c r="F73" s="144">
        <f ca="1">IFERROR(COUNTIFS(IPQC_Records[[No.]:[No.]],Charts!$A73,IPQC_Records[[Shift]:[Shift]],Charts!$B73,IPQC_Records[[Month]:[Month]],F$22)/F$68,0)</f>
        <v>0</v>
      </c>
      <c r="G73" s="144">
        <f ca="1">IFERROR(COUNTIFS(IPQC_Records[[No.]:[No.]],Charts!$A73,IPQC_Records[[Shift]:[Shift]],Charts!$B73,IPQC_Records[[Month]:[Month]],G$22)/G$68,0)</f>
        <v>0</v>
      </c>
      <c r="H73" s="144">
        <f ca="1">IFERROR(COUNTIFS(IPQC_Records[[No.]:[No.]],Charts!$A73,IPQC_Records[[Shift]:[Shift]],Charts!$B73,IPQC_Records[[Month]:[Month]],H$22)/H$68,0)</f>
        <v>0</v>
      </c>
      <c r="I73" s="144">
        <f ca="1">IFERROR(COUNTIFS(IPQC_Records[[No.]:[No.]],Charts!$A73,IPQC_Records[[Shift]:[Shift]],Charts!$B73,IPQC_Records[[Month]:[Month]],I$22)/I$68,0)</f>
        <v>0</v>
      </c>
      <c r="J73" s="144">
        <f ca="1">IFERROR(COUNTIFS(IPQC_Records[[No.]:[No.]],Charts!$A73,IPQC_Records[[Shift]:[Shift]],Charts!$B73,IPQC_Records[[Month]:[Month]],J$22)/J$68,0)</f>
        <v>0</v>
      </c>
      <c r="K73" s="144">
        <f ca="1">IFERROR(COUNTIFS(IPQC_Records[[No.]:[No.]],Charts!$A73,IPQC_Records[[Shift]:[Shift]],Charts!$B73,IPQC_Records[[Month]:[Month]],K$22)/K$68,0)</f>
        <v>0</v>
      </c>
      <c r="L73" s="143"/>
      <c r="M73" s="144">
        <f ca="1">IFERROR(COUNTIFS(IPQC_Records[[No.]:[No.]],Charts!$A73,IPQC_Records[[Shift]:[Shift]],Charts!$B73,IPQC_Records[[CW]:[CW]],M$22)/M$68,0)</f>
        <v>0</v>
      </c>
      <c r="N73" s="144">
        <f ca="1">IFERROR(COUNTIFS(IPQC_Records[[No.]:[No.]],Charts!$A73,IPQC_Records[[Shift]:[Shift]],Charts!$B73,IPQC_Records[[CW]:[CW]],N$22)/N$68,0)</f>
        <v>0</v>
      </c>
      <c r="O73" s="144">
        <f ca="1">IFERROR(COUNTIFS(IPQC_Records[[No.]:[No.]],Charts!$A73,IPQC_Records[[Shift]:[Shift]],Charts!$B73,IPQC_Records[[CW]:[CW]],O$22)/O$68,0)</f>
        <v>0</v>
      </c>
      <c r="P73" s="144">
        <f ca="1">IFERROR(COUNTIFS(IPQC_Records[[No.]:[No.]],Charts!$A73,IPQC_Records[[Shift]:[Shift]],Charts!$B73,IPQC_Records[[CW]:[CW]],P$22)/P$68,0)</f>
        <v>0</v>
      </c>
      <c r="Q73" s="145">
        <f ca="1">IFERROR(COUNTIFS(IPQC_Records[[No.]:[No.]],Charts!$A73,IPQC_Records[[Shift]:[Shift]],Charts!$B73,IPQC_Records[[CW]:[CW]],Q$22)/Q$68,0)</f>
        <v>0</v>
      </c>
    </row>
  </sheetData>
  <sheetProtection selectLockedCells="1"/>
  <mergeCells count="33">
    <mergeCell ref="AC4:AD4"/>
    <mergeCell ref="AC5:AD6"/>
    <mergeCell ref="AF5:AF6"/>
    <mergeCell ref="AB5:AB6"/>
    <mergeCell ref="AE5:AE6"/>
    <mergeCell ref="B19:C19"/>
    <mergeCell ref="D19:L19"/>
    <mergeCell ref="A22:B22"/>
    <mergeCell ref="B16:C16"/>
    <mergeCell ref="D16:L16"/>
    <mergeCell ref="B17:C17"/>
    <mergeCell ref="D17:L17"/>
    <mergeCell ref="B18:C18"/>
    <mergeCell ref="D18:L18"/>
    <mergeCell ref="B15:C15"/>
    <mergeCell ref="D15:L15"/>
    <mergeCell ref="B7:C7"/>
    <mergeCell ref="D7:L7"/>
    <mergeCell ref="B8:C8"/>
    <mergeCell ref="D8:L8"/>
    <mergeCell ref="B9:C9"/>
    <mergeCell ref="D9:L9"/>
    <mergeCell ref="B10:C10"/>
    <mergeCell ref="D10:L10"/>
    <mergeCell ref="B13:M13"/>
    <mergeCell ref="B14:C14"/>
    <mergeCell ref="D14:L14"/>
    <mergeCell ref="B2:C2"/>
    <mergeCell ref="B4:M4"/>
    <mergeCell ref="B5:C5"/>
    <mergeCell ref="D5:L5"/>
    <mergeCell ref="B6:C6"/>
    <mergeCell ref="D6:L6"/>
  </mergeCells>
  <conditionalFormatting sqref="A25:A29 A31:A35 A37:A41 A43:A47">
    <cfRule type="expression" dxfId="4" priority="4">
      <formula>A$22="Year"</formula>
    </cfRule>
    <cfRule type="expression" dxfId="3" priority="5">
      <formula>A$22="Month"</formula>
    </cfRule>
  </conditionalFormatting>
  <conditionalFormatting sqref="A51:A55 A57:A61 A63:A67 A69:A73">
    <cfRule type="expression" dxfId="2" priority="2">
      <formula>A$22="Year"</formula>
    </cfRule>
    <cfRule type="expression" dxfId="1" priority="3">
      <formula>A$22="Month"</formula>
    </cfRule>
  </conditionalFormatting>
  <conditionalFormatting sqref="AA3">
    <cfRule type="cellIs" dxfId="0" priority="1" operator="equal">
      <formula>"0"</formula>
    </cfRule>
  </conditionalFormatting>
  <dataValidations count="3">
    <dataValidation type="list" allowBlank="1" showInputMessage="1" showErrorMessage="1" sqref="A22" xr:uid="{2EE7F463-F139-4501-A4BD-FD3789C2A088}">
      <formula1>"Month, Year"</formula1>
    </dataValidation>
    <dataValidation type="list" allowBlank="1" showInputMessage="1" sqref="D2" xr:uid="{54FF476F-4FFB-42B3-B62F-06CF4E4FA5CD}">
      <formula1>"1,2,3,4,5,6,7,8,9,10,11,12"</formula1>
    </dataValidation>
    <dataValidation type="list" allowBlank="1" showInputMessage="1" sqref="AA1" xr:uid="{DE30A761-427B-474C-9255-B31F007AC907}">
      <formula1>"MONTH,YEAR"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Check List</vt:lpstr>
      <vt:lpstr>Input Finding</vt:lpstr>
      <vt:lpstr>Records</vt:lpstr>
      <vt:lpstr>Openfindings</vt:lpstr>
      <vt:lpstr>Charts</vt:lpstr>
      <vt:lpstr>Cell___string_rework</vt:lpstr>
      <vt:lpstr>Cell_Matrix_Layup___Soldering</vt:lpstr>
      <vt:lpstr>Cell_unpacking</vt:lpstr>
      <vt:lpstr>Cleaving</vt:lpstr>
      <vt:lpstr>CS_Issues</vt:lpstr>
      <vt:lpstr>ESD_Protection</vt:lpstr>
      <vt:lpstr>EVA___BS_prep___layup</vt:lpstr>
      <vt:lpstr>Final_EL</vt:lpstr>
      <vt:lpstr>FQC___Curing</vt:lpstr>
      <vt:lpstr>Frame_assembly</vt:lpstr>
      <vt:lpstr>General_item_check</vt:lpstr>
      <vt:lpstr>Grounding_Tester</vt:lpstr>
      <vt:lpstr>Hi_Pot_Tester</vt:lpstr>
      <vt:lpstr>IPQC_No</vt:lpstr>
      <vt:lpstr>J_box_assembly</vt:lpstr>
      <vt:lpstr>kitting</vt:lpstr>
      <vt:lpstr>Laminate_Inspection</vt:lpstr>
      <vt:lpstr>Lamination</vt:lpstr>
      <vt:lpstr>Location</vt:lpstr>
      <vt:lpstr>Packaging</vt:lpstr>
      <vt:lpstr>'Input Finding'!Print_Area</vt:lpstr>
      <vt:lpstr>Sun_Simulator_Flasher</vt:lpstr>
      <vt:lpstr>Tabbing__string_soldering</vt:lpstr>
      <vt:lpstr>Trimming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Lizi</dc:creator>
  <cp:lastModifiedBy>Ricardo Rivera</cp:lastModifiedBy>
  <cp:lastPrinted>2023-11-14T22:11:36Z</cp:lastPrinted>
  <dcterms:created xsi:type="dcterms:W3CDTF">2022-12-22T18:42:38Z</dcterms:created>
  <dcterms:modified xsi:type="dcterms:W3CDTF">2024-11-21T21:28:53Z</dcterms:modified>
</cp:coreProperties>
</file>